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k/dev/wfm/"/>
    </mc:Choice>
  </mc:AlternateContent>
  <xr:revisionPtr revIDLastSave="0" documentId="13_ncr:1_{DBE8AA24-DFD7-9446-BD5F-B32C5FF5521B}" xr6:coauthVersionLast="46" xr6:coauthVersionMax="46" xr10:uidLastSave="{00000000-0000-0000-0000-000000000000}"/>
  <bookViews>
    <workbookView xWindow="0" yWindow="0" windowWidth="28800" windowHeight="18000" activeTab="3" xr2:uid="{00000000-000D-0000-FFFF-FFFF00000000}"/>
  </bookViews>
  <sheets>
    <sheet name="Persons" sheetId="15" r:id="rId1"/>
    <sheet name="Organization" sheetId="48" r:id="rId2"/>
    <sheet name="Teams" sheetId="49" r:id="rId3"/>
    <sheet name="Assignment" sheetId="50" r:id="rId4"/>
    <sheet name="Role_vs_Organization" sheetId="38" state="hidden" r:id="rId5"/>
    <sheet name="Monthly_View_with_NSB" sheetId="32" state="hidden" r:id="rId6"/>
  </sheets>
  <functionGroups builtInGroupCount="19"/>
  <definedNames>
    <definedName name="_xlnm._FilterDatabase" localSheetId="0" hidden="1">Persons!$A$1:$AH$5</definedName>
    <definedName name="FirstRule">#REF!</definedName>
    <definedName name="Header">Persons!#REF!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2" i="32" l="1"/>
  <c r="R12" i="32" s="1"/>
  <c r="M12" i="32"/>
  <c r="P11" i="32"/>
  <c r="R11" i="32" s="1"/>
  <c r="M11" i="32"/>
  <c r="R10" i="32"/>
  <c r="R9" i="32"/>
  <c r="R8" i="32"/>
</calcChain>
</file>

<file path=xl/sharedStrings.xml><?xml version="1.0" encoding="utf-8"?>
<sst xmlns="http://schemas.openxmlformats.org/spreadsheetml/2006/main" count="229" uniqueCount="151">
  <si>
    <t>USA</t>
  </si>
  <si>
    <t>Remark</t>
  </si>
  <si>
    <t>TMA</t>
  </si>
  <si>
    <t>Techmahindra</t>
  </si>
  <si>
    <t>Product</t>
  </si>
  <si>
    <t>APC</t>
  </si>
  <si>
    <t>Dev</t>
  </si>
  <si>
    <t>TPM</t>
  </si>
  <si>
    <t>Name</t>
  </si>
  <si>
    <t>Location</t>
  </si>
  <si>
    <t>Role</t>
  </si>
  <si>
    <t>Chennai</t>
  </si>
  <si>
    <t>Antwerp</t>
  </si>
  <si>
    <t>NA</t>
  </si>
  <si>
    <t>PLM</t>
  </si>
  <si>
    <t>TEC</t>
  </si>
  <si>
    <t>Canada</t>
  </si>
  <si>
    <t>Test</t>
  </si>
  <si>
    <t>Solution</t>
  </si>
  <si>
    <t>Bangalore</t>
  </si>
  <si>
    <t>Grand Total</t>
  </si>
  <si>
    <t>Rep Mgr</t>
  </si>
  <si>
    <t>Entry date</t>
  </si>
  <si>
    <t>Exit date</t>
  </si>
  <si>
    <t>Ian Martin</t>
  </si>
  <si>
    <t>Sys</t>
  </si>
  <si>
    <t>Auto</t>
  </si>
  <si>
    <t>Email</t>
  </si>
  <si>
    <t>Team</t>
  </si>
  <si>
    <t>Row Labels</t>
  </si>
  <si>
    <t>Organisation</t>
  </si>
  <si>
    <t>Vietnam</t>
  </si>
  <si>
    <t>Column Labels</t>
  </si>
  <si>
    <t>Support</t>
  </si>
  <si>
    <t>CAM</t>
  </si>
  <si>
    <t>Automation</t>
  </si>
  <si>
    <t>PCC</t>
  </si>
  <si>
    <t>satish_kumar.r@nokia.com</t>
  </si>
  <si>
    <t>Mgmt</t>
  </si>
  <si>
    <t>iNES</t>
  </si>
  <si>
    <t>Global CAM</t>
  </si>
  <si>
    <t xml:space="preserve">Mgmt </t>
  </si>
  <si>
    <t>Shanghai</t>
  </si>
  <si>
    <t>Nokia</t>
  </si>
  <si>
    <t>Tools</t>
  </si>
  <si>
    <t>Dev-AMS-Khanh</t>
  </si>
  <si>
    <t>Dev-AMS-ToCK</t>
  </si>
  <si>
    <t>Dev-AMS-Viet Le</t>
  </si>
  <si>
    <t>Dev-AMS Plug-Vidhya</t>
  </si>
  <si>
    <t>Dev-AMS Plug-Vincent</t>
  </si>
  <si>
    <t>Dev-APC-Chung</t>
  </si>
  <si>
    <t>Dev-PCC-Arul</t>
  </si>
  <si>
    <t>Dev-Solution-JacobM</t>
  </si>
  <si>
    <t>Test-AMS App-Arun</t>
  </si>
  <si>
    <t>Test-AMS App-Tuan Phan</t>
  </si>
  <si>
    <t>Test-AMS Maint-Soubhagya</t>
  </si>
  <si>
    <t>Test-AMS Plug-Mahendran</t>
  </si>
  <si>
    <t>Test-AMS Solution-Gopi</t>
  </si>
  <si>
    <t>FO</t>
  </si>
  <si>
    <t>Dev-APC Maint-Zhengping</t>
  </si>
  <si>
    <t>Test-APC Core-Thi</t>
  </si>
  <si>
    <t>Test-APC Plug-Dai</t>
  </si>
  <si>
    <t>Dev-Arch-Mukesh</t>
  </si>
  <si>
    <t>Dev-AMS-Vu</t>
  </si>
  <si>
    <t>Dev - EP Plugs - Vincent</t>
  </si>
  <si>
    <t>Test-NAV-Madhu</t>
  </si>
  <si>
    <t>Dev-NAC-JacobK</t>
  </si>
  <si>
    <t>Dev-NAC-N.Jagadish</t>
  </si>
  <si>
    <t>Test-NAC-Ganapathi</t>
  </si>
  <si>
    <t>Dev-NAC-Duy</t>
  </si>
  <si>
    <t>Dev - NAV - Peter Verthez</t>
  </si>
  <si>
    <t>Dev-NAV-Keshava</t>
  </si>
  <si>
    <t>Test-NAV-Flori</t>
  </si>
  <si>
    <t>Dev-NAV-Frederic</t>
  </si>
  <si>
    <t>Dev-AMS Maint- Balavignesh</t>
  </si>
  <si>
    <t>Test-- AMS App- Junli</t>
  </si>
  <si>
    <t xml:space="preserve"> Dev - AMS App-Ding</t>
  </si>
  <si>
    <t>Dev - AMS Plug NSB</t>
  </si>
  <si>
    <t>Test - AMS Plug NSB</t>
  </si>
  <si>
    <t>NSB Subco</t>
  </si>
  <si>
    <t>Dev-NAC-Vishal</t>
  </si>
  <si>
    <t>Test-Common-Shyam</t>
  </si>
  <si>
    <t>Test-CFT-Ananth</t>
  </si>
  <si>
    <t>Dev - AMS App - Zhen</t>
  </si>
  <si>
    <t>Dev-NAV-Toan</t>
  </si>
  <si>
    <t>Dev-NAV-Tan</t>
  </si>
  <si>
    <t>Test- EP Plugs - Subbu</t>
  </si>
  <si>
    <t>Dev-NAC-Kaja</t>
  </si>
  <si>
    <t>Dev-NAC-Steven</t>
  </si>
  <si>
    <t>Dev-APC Plug-Anh Pham</t>
  </si>
  <si>
    <t>EP Dev</t>
  </si>
  <si>
    <t>EP Test</t>
  </si>
  <si>
    <t>EP Total</t>
  </si>
  <si>
    <t>CP Dev</t>
  </si>
  <si>
    <t>CP Test</t>
  </si>
  <si>
    <t>CP Total</t>
  </si>
  <si>
    <t>Month</t>
  </si>
  <si>
    <t>Others</t>
  </si>
  <si>
    <t>Overall HC</t>
  </si>
  <si>
    <t>Other VAPS</t>
  </si>
  <si>
    <t>AV</t>
  </si>
  <si>
    <t>AC</t>
  </si>
  <si>
    <t xml:space="preserve">AMS </t>
  </si>
  <si>
    <t>PM/TS</t>
  </si>
  <si>
    <t>WebInfra</t>
  </si>
  <si>
    <t>Nokia ID</t>
  </si>
  <si>
    <t>Sum of Act Alloc</t>
  </si>
  <si>
    <t>kaushik.mandal@nokia.com</t>
  </si>
  <si>
    <t>joydeep.paul@nokia.com</t>
  </si>
  <si>
    <t>manohar.nagaiah@nokia.com</t>
  </si>
  <si>
    <t>Dev-FWA-Arul</t>
  </si>
  <si>
    <t>Test-FWA-Moorthy</t>
  </si>
  <si>
    <t>Dev-PCC-Aathif</t>
  </si>
  <si>
    <t>Test-PCC-ArunS</t>
  </si>
  <si>
    <t>(blank)</t>
  </si>
  <si>
    <t>Team Category</t>
  </si>
  <si>
    <t>Portfolio</t>
  </si>
  <si>
    <t>Altiplano</t>
  </si>
  <si>
    <t>TEST-1</t>
  </si>
  <si>
    <t>TEST-2</t>
  </si>
  <si>
    <t>TEST-3</t>
  </si>
  <si>
    <t>TEST-4</t>
  </si>
  <si>
    <t>TEST-5</t>
  </si>
  <si>
    <t>TEST-6</t>
  </si>
  <si>
    <t>TEST-7</t>
  </si>
  <si>
    <t>TEST-8</t>
  </si>
  <si>
    <t>TEST-9</t>
  </si>
  <si>
    <t>TEST-10</t>
  </si>
  <si>
    <t>TEST-11</t>
  </si>
  <si>
    <t>TEST-12</t>
  </si>
  <si>
    <t>TEST-13</t>
  </si>
  <si>
    <t>TEST-14</t>
  </si>
  <si>
    <t>TEST-15</t>
  </si>
  <si>
    <t>TEST-16</t>
  </si>
  <si>
    <t>TEST-17</t>
  </si>
  <si>
    <t>TEST-18</t>
  </si>
  <si>
    <t>TEST-19</t>
  </si>
  <si>
    <t>TEST-20</t>
  </si>
  <si>
    <t>TEST-21</t>
  </si>
  <si>
    <t>TEST-22</t>
  </si>
  <si>
    <t>TEST-23</t>
  </si>
  <si>
    <t>India</t>
  </si>
  <si>
    <t>CSK</t>
  </si>
  <si>
    <t>IPL</t>
  </si>
  <si>
    <t>Cricket</t>
  </si>
  <si>
    <t>Person</t>
  </si>
  <si>
    <t>Assignment %</t>
  </si>
  <si>
    <t>Short Name</t>
  </si>
  <si>
    <t>Organization</t>
  </si>
  <si>
    <t>OU</t>
  </si>
  <si>
    <t>Parent 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</si>
</sst>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;@"/>
    <numFmt numFmtId="165" formatCode="0.0"/>
    <numFmt numFmtId="166" formatCode="mmm/dd/yyyy"/>
  </numFmts>
  <fonts count="25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name val="FuturaA Bk BT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2"/>
      <name val="宋体"/>
      <family val="3"/>
      <charset val="134"/>
    </font>
    <font>
      <sz val="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" fillId="0" borderId="0"/>
    <xf numFmtId="0" fontId="7" fillId="0" borderId="0" applyFill="0" applyBorder="0"/>
    <xf numFmtId="0" fontId="7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" fillId="0" borderId="0"/>
    <xf numFmtId="0" fontId="1" fillId="0" borderId="0"/>
    <xf numFmtId="0" fontId="23" fillId="0" borderId="0">
      <alignment vertical="center"/>
    </xf>
  </cellStyleXfs>
  <cellXfs count="62">
    <xf numFmtId="0" fontId="0" fillId="0" borderId="0" xfId="0"/>
    <xf numFmtId="0" fontId="1" fillId="0" borderId="10" xfId="38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1" fillId="0" borderId="10" xfId="0" applyFont="1" applyFill="1" applyBorder="1" applyAlignment="1">
      <alignment horizontal="left"/>
    </xf>
    <xf numFmtId="0" fontId="22" fillId="0" borderId="10" xfId="38" applyFont="1" applyBorder="1"/>
    <xf numFmtId="0" fontId="22" fillId="0" borderId="10" xfId="38" applyFont="1" applyBorder="1" applyAlignment="1">
      <alignment wrapText="1"/>
    </xf>
    <xf numFmtId="0" fontId="1" fillId="0" borderId="10" xfId="38" applyFont="1" applyBorder="1"/>
    <xf numFmtId="0" fontId="1" fillId="0" borderId="10" xfId="0" applyFont="1" applyBorder="1"/>
    <xf numFmtId="0" fontId="20" fillId="0" borderId="10" xfId="0" applyFont="1" applyBorder="1" applyAlignment="1">
      <alignment horizontal="left"/>
    </xf>
    <xf numFmtId="0" fontId="1" fillId="0" borderId="10" xfId="38" applyFont="1" applyFill="1" applyBorder="1" applyAlignment="1">
      <alignment wrapText="1"/>
    </xf>
    <xf numFmtId="0" fontId="1" fillId="0" borderId="10" xfId="38" applyFont="1" applyBorder="1" applyAlignment="1">
      <alignment wrapText="1"/>
    </xf>
    <xf numFmtId="0" fontId="20" fillId="0" borderId="10" xfId="0" applyFont="1" applyFill="1" applyBorder="1" applyAlignment="1">
      <alignment horizontal="left"/>
    </xf>
    <xf numFmtId="0" fontId="1" fillId="0" borderId="10" xfId="0" applyFont="1" applyFill="1" applyBorder="1"/>
    <xf numFmtId="0" fontId="0" fillId="0" borderId="10" xfId="0" applyBorder="1"/>
    <xf numFmtId="0" fontId="1" fillId="0" borderId="11" xfId="38" applyFont="1" applyFill="1" applyBorder="1"/>
    <xf numFmtId="0" fontId="1" fillId="0" borderId="11" xfId="0" applyFont="1" applyFill="1" applyBorder="1"/>
    <xf numFmtId="0" fontId="22" fillId="0" borderId="11" xfId="38" applyFont="1" applyBorder="1"/>
    <xf numFmtId="0" fontId="1" fillId="0" borderId="11" xfId="38" applyFont="1" applyBorder="1"/>
    <xf numFmtId="0" fontId="0" fillId="0" borderId="11" xfId="0" applyBorder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25" borderId="10" xfId="0" applyFill="1" applyBorder="1" applyAlignment="1">
      <alignment horizontal="center"/>
    </xf>
    <xf numFmtId="0" fontId="1" fillId="25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6" fontId="0" fillId="0" borderId="10" xfId="0" applyNumberFormat="1" applyFill="1" applyBorder="1" applyAlignment="1">
      <alignment horizontal="center"/>
    </xf>
    <xf numFmtId="16" fontId="1" fillId="0" borderId="10" xfId="0" applyNumberFormat="1" applyFont="1" applyFill="1" applyBorder="1" applyAlignment="1">
      <alignment horizontal="center"/>
    </xf>
    <xf numFmtId="0" fontId="0" fillId="25" borderId="10" xfId="0" applyFill="1" applyBorder="1"/>
    <xf numFmtId="165" fontId="0" fillId="0" borderId="1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10" xfId="0" applyNumberForma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NumberFormat="1" applyBorder="1"/>
    <xf numFmtId="16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22" fillId="0" borderId="10" xfId="38" applyFont="1" applyBorder="1" applyAlignment="1">
      <alignment horizontal="center" wrapText="1"/>
    </xf>
    <xf numFmtId="0" fontId="1" fillId="0" borderId="10" xfId="0" applyFont="1" applyFill="1" applyBorder="1" applyAlignment="1">
      <alignment horizontal="center"/>
    </xf>
    <xf numFmtId="166" fontId="0" fillId="0" borderId="0" xfId="0" applyNumberFormat="1"/>
    <xf numFmtId="166" fontId="22" fillId="0" borderId="11" xfId="38" applyNumberFormat="1" applyFont="1" applyBorder="1"/>
    <xf numFmtId="166" fontId="1" fillId="0" borderId="10" xfId="38" applyNumberFormat="1" applyFont="1" applyFill="1" applyBorder="1"/>
    <xf numFmtId="166" fontId="1" fillId="0" borderId="10" xfId="38" applyNumberFormat="1" applyFont="1" applyBorder="1"/>
    <xf numFmtId="166" fontId="0" fillId="0" borderId="0" xfId="0" applyNumberFormat="1" applyFill="1"/>
    <xf numFmtId="166" fontId="22" fillId="0" borderId="10" xfId="38" applyNumberFormat="1" applyFont="1" applyFill="1" applyBorder="1"/>
    <xf numFmtId="0" fontId="1" fillId="0" borderId="11" xfId="0" applyFont="1" applyBorder="1"/>
    <xf numFmtId="0" fontId="1" fillId="0" borderId="12" xfId="0" applyFont="1" applyFill="1" applyBorder="1"/>
    <xf numFmtId="0" fontId="1" fillId="0" borderId="10" xfId="38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2" fillId="0" borderId="10" xfId="38" applyFont="1" applyBorder="1" applyAlignment="1">
      <alignment horizontal="left" vertical="top" wrapText="1"/>
    </xf>
    <xf numFmtId="0" fontId="1" fillId="0" borderId="10" xfId="38" applyFont="1" applyBorder="1" applyAlignment="1">
      <alignment horizontal="left" vertical="top" wrapText="1"/>
    </xf>
    <xf numFmtId="166" fontId="1" fillId="24" borderId="10" xfId="38" applyNumberFormat="1" applyFont="1" applyFill="1" applyBorder="1"/>
    <xf numFmtId="0" fontId="1" fillId="26" borderId="10" xfId="0" applyFont="1" applyFill="1" applyBorder="1"/>
    <xf numFmtId="0" fontId="1" fillId="0" borderId="0" xfId="0" applyFont="1"/>
    <xf numFmtId="0" fontId="1" fillId="0" borderId="0" xfId="38" applyFont="1"/>
    <xf numFmtId="0" fontId="1" fillId="26" borderId="10" xfId="0" applyFont="1" applyFill="1" applyBorder="1" applyAlignment="1">
      <alignment vertical="center"/>
    </xf>
    <xf numFmtId="0" fontId="1" fillId="0" borderId="0" xfId="38" applyFont="1" applyFill="1"/>
    <xf numFmtId="0" fontId="21" fillId="0" borderId="1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166" fontId="1" fillId="0" borderId="0" xfId="0" applyNumberFormat="1" applyFont="1" applyFill="1"/>
    <xf numFmtId="166" fontId="1" fillId="0" borderId="0" xfId="0" applyNumberFormat="1" applyFont="1"/>
    <xf numFmtId="0" fontId="1" fillId="0" borderId="0" xfId="0" applyFont="1" applyAlignment="1">
      <alignment horizontal="center"/>
    </xf>
  </cellXfs>
  <cellStyles count="4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6000000}"/>
    <cellStyle name="Normal 2 2" xfId="44" xr:uid="{00000000-0005-0000-0000-000027000000}"/>
    <cellStyle name="Normal 3" xfId="45" xr:uid="{00000000-0005-0000-0000-000028000000}"/>
    <cellStyle name="Normal 4" xfId="46" xr:uid="{00000000-0005-0000-0000-000029000000}"/>
    <cellStyle name="Normal_AMSOrgInfo_2012_10_30" xfId="38" xr:uid="{00000000-0005-0000-0000-00002A000000}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9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 Organization.xlsm]Role_vs_Organization!PivotTable5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Role_vs_Organization!$B$18:$B$19</c:f>
              <c:strCache>
                <c:ptCount val="1"/>
                <c:pt idx="0">
                  <c:v>Ian Martin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Role_vs_Organization!$A$20:$A$31</c:f>
              <c:strCache>
                <c:ptCount val="11"/>
                <c:pt idx="0">
                  <c:v>Auto</c:v>
                </c:pt>
                <c:pt idx="1">
                  <c:v>Dev</c:v>
                </c:pt>
                <c:pt idx="2">
                  <c:v>Mgmt </c:v>
                </c:pt>
                <c:pt idx="3">
                  <c:v>PLM</c:v>
                </c:pt>
                <c:pt idx="4">
                  <c:v>Support</c:v>
                </c:pt>
                <c:pt idx="5">
                  <c:v>Sys</c:v>
                </c:pt>
                <c:pt idx="6">
                  <c:v>TEC</c:v>
                </c:pt>
                <c:pt idx="7">
                  <c:v>Test</c:v>
                </c:pt>
                <c:pt idx="8">
                  <c:v>TPM</c:v>
                </c:pt>
                <c:pt idx="9">
                  <c:v>NA</c:v>
                </c:pt>
                <c:pt idx="10">
                  <c:v>(blank)</c:v>
                </c:pt>
              </c:strCache>
            </c:strRef>
          </c:cat>
          <c:val>
            <c:numRef>
              <c:f>Role_vs_Organization!$B$20:$B$31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9-446F-A02D-70657BE414AF}"/>
            </c:ext>
          </c:extLst>
        </c:ser>
        <c:ser>
          <c:idx val="1"/>
          <c:order val="1"/>
          <c:tx>
            <c:strRef>
              <c:f>Role_vs_Organization!$C$18:$C$19</c:f>
              <c:strCache>
                <c:ptCount val="1"/>
                <c:pt idx="0">
                  <c:v>Nokia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Role_vs_Organization!$A$20:$A$31</c:f>
              <c:strCache>
                <c:ptCount val="11"/>
                <c:pt idx="0">
                  <c:v>Auto</c:v>
                </c:pt>
                <c:pt idx="1">
                  <c:v>Dev</c:v>
                </c:pt>
                <c:pt idx="2">
                  <c:v>Mgmt </c:v>
                </c:pt>
                <c:pt idx="3">
                  <c:v>PLM</c:v>
                </c:pt>
                <c:pt idx="4">
                  <c:v>Support</c:v>
                </c:pt>
                <c:pt idx="5">
                  <c:v>Sys</c:v>
                </c:pt>
                <c:pt idx="6">
                  <c:v>TEC</c:v>
                </c:pt>
                <c:pt idx="7">
                  <c:v>Test</c:v>
                </c:pt>
                <c:pt idx="8">
                  <c:v>TPM</c:v>
                </c:pt>
                <c:pt idx="9">
                  <c:v>NA</c:v>
                </c:pt>
                <c:pt idx="10">
                  <c:v>(blank)</c:v>
                </c:pt>
              </c:strCache>
            </c:strRef>
          </c:cat>
          <c:val>
            <c:numRef>
              <c:f>Role_vs_Organization!$C$20:$C$31</c:f>
              <c:numCache>
                <c:formatCode>General</c:formatCode>
                <c:ptCount val="11"/>
                <c:pt idx="1">
                  <c:v>84</c:v>
                </c:pt>
                <c:pt idx="2">
                  <c:v>15</c:v>
                </c:pt>
                <c:pt idx="3">
                  <c:v>12</c:v>
                </c:pt>
                <c:pt idx="4">
                  <c:v>7.5</c:v>
                </c:pt>
                <c:pt idx="5">
                  <c:v>13.25</c:v>
                </c:pt>
                <c:pt idx="6">
                  <c:v>0.5</c:v>
                </c:pt>
                <c:pt idx="7">
                  <c:v>58.5</c:v>
                </c:pt>
                <c:pt idx="8">
                  <c:v>11</c:v>
                </c:pt>
                <c:pt idx="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89-446F-A02D-70657BE414AF}"/>
            </c:ext>
          </c:extLst>
        </c:ser>
        <c:ser>
          <c:idx val="2"/>
          <c:order val="2"/>
          <c:tx>
            <c:strRef>
              <c:f>Role_vs_Organization!$D$18:$D$19</c:f>
              <c:strCache>
                <c:ptCount val="1"/>
                <c:pt idx="0">
                  <c:v>NSB Subco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Role_vs_Organization!$A$20:$A$31</c:f>
              <c:strCache>
                <c:ptCount val="11"/>
                <c:pt idx="0">
                  <c:v>Auto</c:v>
                </c:pt>
                <c:pt idx="1">
                  <c:v>Dev</c:v>
                </c:pt>
                <c:pt idx="2">
                  <c:v>Mgmt </c:v>
                </c:pt>
                <c:pt idx="3">
                  <c:v>PLM</c:v>
                </c:pt>
                <c:pt idx="4">
                  <c:v>Support</c:v>
                </c:pt>
                <c:pt idx="5">
                  <c:v>Sys</c:v>
                </c:pt>
                <c:pt idx="6">
                  <c:v>TEC</c:v>
                </c:pt>
                <c:pt idx="7">
                  <c:v>Test</c:v>
                </c:pt>
                <c:pt idx="8">
                  <c:v>TPM</c:v>
                </c:pt>
                <c:pt idx="9">
                  <c:v>NA</c:v>
                </c:pt>
                <c:pt idx="10">
                  <c:v>(blank)</c:v>
                </c:pt>
              </c:strCache>
            </c:strRef>
          </c:cat>
          <c:val>
            <c:numRef>
              <c:f>Role_vs_Organization!$D$20:$D$31</c:f>
              <c:numCache>
                <c:formatCode>General</c:formatCode>
                <c:ptCount val="11"/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89-446F-A02D-70657BE414AF}"/>
            </c:ext>
          </c:extLst>
        </c:ser>
        <c:ser>
          <c:idx val="3"/>
          <c:order val="3"/>
          <c:tx>
            <c:strRef>
              <c:f>Role_vs_Organization!$E$18:$E$19</c:f>
              <c:strCache>
                <c:ptCount val="1"/>
                <c:pt idx="0">
                  <c:v>Techmahindra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Role_vs_Organization!$A$20:$A$31</c:f>
              <c:strCache>
                <c:ptCount val="11"/>
                <c:pt idx="0">
                  <c:v>Auto</c:v>
                </c:pt>
                <c:pt idx="1">
                  <c:v>Dev</c:v>
                </c:pt>
                <c:pt idx="2">
                  <c:v>Mgmt </c:v>
                </c:pt>
                <c:pt idx="3">
                  <c:v>PLM</c:v>
                </c:pt>
                <c:pt idx="4">
                  <c:v>Support</c:v>
                </c:pt>
                <c:pt idx="5">
                  <c:v>Sys</c:v>
                </c:pt>
                <c:pt idx="6">
                  <c:v>TEC</c:v>
                </c:pt>
                <c:pt idx="7">
                  <c:v>Test</c:v>
                </c:pt>
                <c:pt idx="8">
                  <c:v>TPM</c:v>
                </c:pt>
                <c:pt idx="9">
                  <c:v>NA</c:v>
                </c:pt>
                <c:pt idx="10">
                  <c:v>(blank)</c:v>
                </c:pt>
              </c:strCache>
            </c:strRef>
          </c:cat>
          <c:val>
            <c:numRef>
              <c:f>Role_vs_Organization!$E$20:$E$31</c:f>
              <c:numCache>
                <c:formatCode>General</c:formatCode>
                <c:ptCount val="11"/>
                <c:pt idx="1">
                  <c:v>12</c:v>
                </c:pt>
                <c:pt idx="4">
                  <c:v>1</c:v>
                </c:pt>
                <c:pt idx="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89-446F-A02D-70657BE414AF}"/>
            </c:ext>
          </c:extLst>
        </c:ser>
        <c:ser>
          <c:idx val="4"/>
          <c:order val="4"/>
          <c:tx>
            <c:strRef>
              <c:f>Role_vs_Organization!$F$18:$F$19</c:f>
              <c:strCache>
                <c:ptCount val="1"/>
                <c:pt idx="0">
                  <c:v>TMA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Role_vs_Organization!$A$20:$A$31</c:f>
              <c:strCache>
                <c:ptCount val="11"/>
                <c:pt idx="0">
                  <c:v>Auto</c:v>
                </c:pt>
                <c:pt idx="1">
                  <c:v>Dev</c:v>
                </c:pt>
                <c:pt idx="2">
                  <c:v>Mgmt </c:v>
                </c:pt>
                <c:pt idx="3">
                  <c:v>PLM</c:v>
                </c:pt>
                <c:pt idx="4">
                  <c:v>Support</c:v>
                </c:pt>
                <c:pt idx="5">
                  <c:v>Sys</c:v>
                </c:pt>
                <c:pt idx="6">
                  <c:v>TEC</c:v>
                </c:pt>
                <c:pt idx="7">
                  <c:v>Test</c:v>
                </c:pt>
                <c:pt idx="8">
                  <c:v>TPM</c:v>
                </c:pt>
                <c:pt idx="9">
                  <c:v>NA</c:v>
                </c:pt>
                <c:pt idx="10">
                  <c:v>(blank)</c:v>
                </c:pt>
              </c:strCache>
            </c:strRef>
          </c:cat>
          <c:val>
            <c:numRef>
              <c:f>Role_vs_Organization!$F$20:$F$31</c:f>
              <c:numCache>
                <c:formatCode>General</c:formatCode>
                <c:ptCount val="11"/>
                <c:pt idx="0">
                  <c:v>4</c:v>
                </c:pt>
                <c:pt idx="1">
                  <c:v>77</c:v>
                </c:pt>
                <c:pt idx="2">
                  <c:v>1</c:v>
                </c:pt>
                <c:pt idx="4">
                  <c:v>3</c:v>
                </c:pt>
                <c:pt idx="7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89-446F-A02D-70657BE414AF}"/>
            </c:ext>
          </c:extLst>
        </c:ser>
        <c:ser>
          <c:idx val="5"/>
          <c:order val="5"/>
          <c:tx>
            <c:strRef>
              <c:f>Role_vs_Organization!$G$18:$G$19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Role_vs_Organization!$A$20:$A$31</c:f>
              <c:strCache>
                <c:ptCount val="11"/>
                <c:pt idx="0">
                  <c:v>Auto</c:v>
                </c:pt>
                <c:pt idx="1">
                  <c:v>Dev</c:v>
                </c:pt>
                <c:pt idx="2">
                  <c:v>Mgmt </c:v>
                </c:pt>
                <c:pt idx="3">
                  <c:v>PLM</c:v>
                </c:pt>
                <c:pt idx="4">
                  <c:v>Support</c:v>
                </c:pt>
                <c:pt idx="5">
                  <c:v>Sys</c:v>
                </c:pt>
                <c:pt idx="6">
                  <c:v>TEC</c:v>
                </c:pt>
                <c:pt idx="7">
                  <c:v>Test</c:v>
                </c:pt>
                <c:pt idx="8">
                  <c:v>TPM</c:v>
                </c:pt>
                <c:pt idx="9">
                  <c:v>NA</c:v>
                </c:pt>
                <c:pt idx="10">
                  <c:v>(blank)</c:v>
                </c:pt>
              </c:strCache>
            </c:strRef>
          </c:cat>
          <c:val>
            <c:numRef>
              <c:f>Role_vs_Organization!$G$20:$G$31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0-80EE-42E6-9936-EB3870453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245776"/>
        <c:axId val="520522496"/>
      </c:barChart>
      <c:catAx>
        <c:axId val="5042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2496"/>
        <c:crosses val="autoZero"/>
        <c:auto val="1"/>
        <c:lblAlgn val="ctr"/>
        <c:lblOffset val="100"/>
        <c:noMultiLvlLbl val="0"/>
      </c:catAx>
      <c:valAx>
        <c:axId val="52052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Last four months view of HC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Monthly_View_with_NSB!$K$7</c:f>
              <c:strCache>
                <c:ptCount val="1"/>
                <c:pt idx="0">
                  <c:v>CP Dev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Monthly_View_with_NSB!$J$8:$J$12</c:f>
              <c:numCache>
                <c:formatCode>[$-409]d\-mmm;@</c:formatCode>
                <c:ptCount val="5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 formatCode="d\-mmm">
                  <c:v>43070</c:v>
                </c:pt>
                <c:pt idx="4" formatCode="d\-mmm">
                  <c:v>43124</c:v>
                </c:pt>
              </c:numCache>
            </c:numRef>
          </c:cat>
          <c:val>
            <c:numRef>
              <c:f>Monthly_View_with_NSB!$K$8:$K$12</c:f>
              <c:numCache>
                <c:formatCode>General</c:formatCode>
                <c:ptCount val="5"/>
                <c:pt idx="0">
                  <c:v>81</c:v>
                </c:pt>
                <c:pt idx="1">
                  <c:v>83</c:v>
                </c:pt>
                <c:pt idx="2">
                  <c:v>83.5</c:v>
                </c:pt>
                <c:pt idx="3">
                  <c:v>78.75</c:v>
                </c:pt>
                <c:pt idx="4">
                  <c:v>79.75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2-4372-848F-7A7E61FE2CE9}"/>
            </c:ext>
          </c:extLst>
        </c:ser>
        <c:ser>
          <c:idx val="1"/>
          <c:order val="1"/>
          <c:tx>
            <c:strRef>
              <c:f>Monthly_View_with_NSB!$L$7</c:f>
              <c:strCache>
                <c:ptCount val="1"/>
                <c:pt idx="0">
                  <c:v>CP Test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Monthly_View_with_NSB!$J$8:$J$12</c:f>
              <c:numCache>
                <c:formatCode>[$-409]d\-mmm;@</c:formatCode>
                <c:ptCount val="5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 formatCode="d\-mmm">
                  <c:v>43070</c:v>
                </c:pt>
                <c:pt idx="4" formatCode="d\-mmm">
                  <c:v>43124</c:v>
                </c:pt>
              </c:numCache>
            </c:numRef>
          </c:cat>
          <c:val>
            <c:numRef>
              <c:f>Monthly_View_with_NSB!$L$8:$L$12</c:f>
              <c:numCache>
                <c:formatCode>General</c:formatCode>
                <c:ptCount val="5"/>
                <c:pt idx="0">
                  <c:v>75.5</c:v>
                </c:pt>
                <c:pt idx="1">
                  <c:v>75.5</c:v>
                </c:pt>
                <c:pt idx="2">
                  <c:v>74.5</c:v>
                </c:pt>
                <c:pt idx="3">
                  <c:v>75.5</c:v>
                </c:pt>
                <c:pt idx="4">
                  <c:v>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02-4372-848F-7A7E61FE2CE9}"/>
            </c:ext>
          </c:extLst>
        </c:ser>
        <c:ser>
          <c:idx val="2"/>
          <c:order val="2"/>
          <c:tx>
            <c:strRef>
              <c:f>Monthly_View_with_NSB!$M$7</c:f>
              <c:strCache>
                <c:ptCount val="1"/>
                <c:pt idx="0">
                  <c:v>CP 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Monthly_View_with_NSB!$J$8:$J$12</c:f>
              <c:numCache>
                <c:formatCode>[$-409]d\-mmm;@</c:formatCode>
                <c:ptCount val="5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 formatCode="d\-mmm">
                  <c:v>43070</c:v>
                </c:pt>
                <c:pt idx="4" formatCode="d\-mmm">
                  <c:v>43124</c:v>
                </c:pt>
              </c:numCache>
            </c:numRef>
          </c:cat>
          <c:val>
            <c:numRef>
              <c:f>Monthly_View_with_NSB!$M$8:$M$12</c:f>
              <c:numCache>
                <c:formatCode>General</c:formatCode>
                <c:ptCount val="5"/>
                <c:pt idx="0">
                  <c:v>156.5</c:v>
                </c:pt>
                <c:pt idx="1">
                  <c:v>158.5</c:v>
                </c:pt>
                <c:pt idx="2">
                  <c:v>158</c:v>
                </c:pt>
                <c:pt idx="3">
                  <c:v>154.25</c:v>
                </c:pt>
                <c:pt idx="4">
                  <c:v>155.25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102-4372-848F-7A7E61FE2CE9}"/>
            </c:ext>
          </c:extLst>
        </c:ser>
        <c:ser>
          <c:idx val="3"/>
          <c:order val="3"/>
          <c:tx>
            <c:strRef>
              <c:f>Monthly_View_with_NSB!$N$7</c:f>
              <c:strCache>
                <c:ptCount val="1"/>
                <c:pt idx="0">
                  <c:v>EP Dev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Monthly_View_with_NSB!$J$8:$J$12</c:f>
              <c:numCache>
                <c:formatCode>[$-409]d\-mmm;@</c:formatCode>
                <c:ptCount val="5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 formatCode="d\-mmm">
                  <c:v>43070</c:v>
                </c:pt>
                <c:pt idx="4" formatCode="d\-mmm">
                  <c:v>43124</c:v>
                </c:pt>
              </c:numCache>
            </c:numRef>
          </c:cat>
          <c:val>
            <c:numRef>
              <c:f>Monthly_View_with_NSB!$N$8:$N$12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96.5</c:v>
                </c:pt>
                <c:pt idx="3">
                  <c:v>97.25</c:v>
                </c:pt>
                <c:pt idx="4">
                  <c:v>84.85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02-4372-848F-7A7E61FE2CE9}"/>
            </c:ext>
          </c:extLst>
        </c:ser>
        <c:ser>
          <c:idx val="4"/>
          <c:order val="4"/>
          <c:tx>
            <c:strRef>
              <c:f>Monthly_View_with_NSB!$O$7</c:f>
              <c:strCache>
                <c:ptCount val="1"/>
                <c:pt idx="0">
                  <c:v>EP Test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Monthly_View_with_NSB!$J$8:$J$12</c:f>
              <c:numCache>
                <c:formatCode>[$-409]d\-mmm;@</c:formatCode>
                <c:ptCount val="5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 formatCode="d\-mmm">
                  <c:v>43070</c:v>
                </c:pt>
                <c:pt idx="4" formatCode="d\-mmm">
                  <c:v>43124</c:v>
                </c:pt>
              </c:numCache>
            </c:numRef>
          </c:cat>
          <c:val>
            <c:numRef>
              <c:f>Monthly_View_with_NSB!$O$8:$O$12</c:f>
              <c:numCache>
                <c:formatCode>General</c:formatCode>
                <c:ptCount val="5"/>
                <c:pt idx="0">
                  <c:v>37</c:v>
                </c:pt>
                <c:pt idx="1">
                  <c:v>36</c:v>
                </c:pt>
                <c:pt idx="2">
                  <c:v>39</c:v>
                </c:pt>
                <c:pt idx="3">
                  <c:v>38</c:v>
                </c:pt>
                <c:pt idx="4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02-4372-848F-7A7E61FE2CE9}"/>
            </c:ext>
          </c:extLst>
        </c:ser>
        <c:ser>
          <c:idx val="5"/>
          <c:order val="5"/>
          <c:tx>
            <c:strRef>
              <c:f>Monthly_View_with_NSB!$P$7</c:f>
              <c:strCache>
                <c:ptCount val="1"/>
                <c:pt idx="0">
                  <c:v>EP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Monthly_View_with_NSB!$J$8:$J$12</c:f>
              <c:numCache>
                <c:formatCode>[$-409]d\-mmm;@</c:formatCode>
                <c:ptCount val="5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 formatCode="d\-mmm">
                  <c:v>43070</c:v>
                </c:pt>
                <c:pt idx="4" formatCode="d\-mmm">
                  <c:v>43124</c:v>
                </c:pt>
              </c:numCache>
            </c:numRef>
          </c:cat>
          <c:val>
            <c:numRef>
              <c:f>Monthly_View_with_NSB!$P$8:$P$12</c:f>
              <c:numCache>
                <c:formatCode>General</c:formatCode>
                <c:ptCount val="5"/>
                <c:pt idx="0">
                  <c:v>137</c:v>
                </c:pt>
                <c:pt idx="1">
                  <c:v>134</c:v>
                </c:pt>
                <c:pt idx="2">
                  <c:v>135.5</c:v>
                </c:pt>
                <c:pt idx="3">
                  <c:v>135.25</c:v>
                </c:pt>
                <c:pt idx="4">
                  <c:v>121.85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7102-4372-848F-7A7E61FE2CE9}"/>
            </c:ext>
          </c:extLst>
        </c:ser>
        <c:ser>
          <c:idx val="6"/>
          <c:order val="6"/>
          <c:tx>
            <c:strRef>
              <c:f>Monthly_View_with_NSB!$Q$7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Monthly_View_with_NSB!$J$8:$J$12</c:f>
              <c:numCache>
                <c:formatCode>[$-409]d\-mmm;@</c:formatCode>
                <c:ptCount val="5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 formatCode="d\-mmm">
                  <c:v>43070</c:v>
                </c:pt>
                <c:pt idx="4" formatCode="d\-mmm">
                  <c:v>43124</c:v>
                </c:pt>
              </c:numCache>
            </c:numRef>
          </c:cat>
          <c:val>
            <c:numRef>
              <c:f>Monthly_View_with_NSB!$Q$8:$Q$12</c:f>
              <c:numCache>
                <c:formatCode>General</c:formatCode>
                <c:ptCount val="5"/>
                <c:pt idx="0">
                  <c:v>67.5</c:v>
                </c:pt>
                <c:pt idx="1">
                  <c:v>67.5</c:v>
                </c:pt>
                <c:pt idx="2">
                  <c:v>66.5</c:v>
                </c:pt>
                <c:pt idx="3">
                  <c:v>69.5</c:v>
                </c:pt>
                <c:pt idx="4">
                  <c:v>79.900000000000006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02-4372-848F-7A7E61FE2CE9}"/>
            </c:ext>
          </c:extLst>
        </c:ser>
        <c:ser>
          <c:idx val="7"/>
          <c:order val="7"/>
          <c:tx>
            <c:strRef>
              <c:f>Monthly_View_with_NSB!$R$7</c:f>
              <c:strCache>
                <c:ptCount val="1"/>
                <c:pt idx="0">
                  <c:v>Overall HC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Monthly_View_with_NSB!$J$8:$J$12</c:f>
              <c:numCache>
                <c:formatCode>[$-409]d\-mmm;@</c:formatCode>
                <c:ptCount val="5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 formatCode="d\-mmm">
                  <c:v>43070</c:v>
                </c:pt>
                <c:pt idx="4" formatCode="d\-mmm">
                  <c:v>43124</c:v>
                </c:pt>
              </c:numCache>
            </c:numRef>
          </c:cat>
          <c:val>
            <c:numRef>
              <c:f>Monthly_View_with_NSB!$R$8:$R$12</c:f>
              <c:numCache>
                <c:formatCode>General</c:formatCode>
                <c:ptCount val="5"/>
                <c:pt idx="0">
                  <c:v>361</c:v>
                </c:pt>
                <c:pt idx="1">
                  <c:v>360</c:v>
                </c:pt>
                <c:pt idx="2">
                  <c:v>360</c:v>
                </c:pt>
                <c:pt idx="3">
                  <c:v>359</c:v>
                </c:pt>
                <c:pt idx="4">
                  <c:v>357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7102-4372-848F-7A7E61FE2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054744"/>
        <c:axId val="225055072"/>
        <c:extLst/>
      </c:barChart>
      <c:dateAx>
        <c:axId val="225054744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055072"/>
        <c:crosses val="autoZero"/>
        <c:auto val="1"/>
        <c:lblOffset val="100"/>
        <c:baseTimeUnit val="months"/>
      </c:dateAx>
      <c:valAx>
        <c:axId val="225055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054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40718393346899"/>
          <c:y val="0.11495357546709828"/>
          <c:w val="0.37592819595611493"/>
          <c:h val="4.293923183266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HC by Product</a:t>
            </a:r>
            <a:r>
              <a:rPr lang="en-US" baseline="0"/>
              <a:t> distribution - 2017/2018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Monthly_View_with_NSB!$D$46</c:f>
              <c:strCache>
                <c:ptCount val="1"/>
                <c:pt idx="0">
                  <c:v>AMS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Monthly_View_with_NSB!$D$47:$D$59</c:f>
              <c:numCache>
                <c:formatCode>General</c:formatCode>
                <c:ptCount val="13"/>
                <c:pt idx="0">
                  <c:v>132.5</c:v>
                </c:pt>
                <c:pt idx="1">
                  <c:v>129.5</c:v>
                </c:pt>
                <c:pt idx="2">
                  <c:v>130.5</c:v>
                </c:pt>
                <c:pt idx="3">
                  <c:v>124.5</c:v>
                </c:pt>
                <c:pt idx="4">
                  <c:v>121</c:v>
                </c:pt>
                <c:pt idx="5">
                  <c:v>121.5</c:v>
                </c:pt>
                <c:pt idx="6">
                  <c:v>120.5</c:v>
                </c:pt>
                <c:pt idx="7">
                  <c:v>124.5</c:v>
                </c:pt>
                <c:pt idx="8" formatCode="0.0">
                  <c:v>112</c:v>
                </c:pt>
                <c:pt idx="9" formatCode="0.0">
                  <c:v>115</c:v>
                </c:pt>
                <c:pt idx="10" formatCode="0.0">
                  <c:v>114.5</c:v>
                </c:pt>
                <c:pt idx="11">
                  <c:v>111.75</c:v>
                </c:pt>
                <c:pt idx="12">
                  <c:v>111.75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9-438B-8CD1-F6E565A1CA3B}"/>
            </c:ext>
          </c:extLst>
        </c:ser>
        <c:ser>
          <c:idx val="1"/>
          <c:order val="1"/>
          <c:tx>
            <c:strRef>
              <c:f>Monthly_View_with_NSB!$E$46</c:f>
              <c:strCache>
                <c:ptCount val="1"/>
                <c:pt idx="0">
                  <c:v>APC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Monthly_View_with_NSB!$E$47:$E$59</c:f>
              <c:numCache>
                <c:formatCode>General</c:formatCode>
                <c:ptCount val="13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31</c:v>
                </c:pt>
                <c:pt idx="8" formatCode="0.0">
                  <c:v>27</c:v>
                </c:pt>
                <c:pt idx="9" formatCode="0.0">
                  <c:v>27</c:v>
                </c:pt>
                <c:pt idx="10" formatCode="0.0">
                  <c:v>28</c:v>
                </c:pt>
                <c:pt idx="11">
                  <c:v>27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E9-438B-8CD1-F6E565A1CA3B}"/>
            </c:ext>
          </c:extLst>
        </c:ser>
        <c:ser>
          <c:idx val="2"/>
          <c:order val="2"/>
          <c:tx>
            <c:strRef>
              <c:f>Monthly_View_with_NSB!$F$46</c:f>
              <c:strCache>
                <c:ptCount val="1"/>
                <c:pt idx="0">
                  <c:v>Other VAPS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Monthly_View_with_NSB!$F$47:$F$59</c:f>
              <c:numCache>
                <c:formatCode>General</c:formatCode>
                <c:ptCount val="1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 formatCode="0.0">
                  <c:v>8.5</c:v>
                </c:pt>
                <c:pt idx="9" formatCode="0.0">
                  <c:v>8.5</c:v>
                </c:pt>
                <c:pt idx="10" formatCode="0.0">
                  <c:v>8.5</c:v>
                </c:pt>
                <c:pt idx="11">
                  <c:v>8.5</c:v>
                </c:pt>
                <c:pt idx="12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E9-438B-8CD1-F6E565A1CA3B}"/>
            </c:ext>
          </c:extLst>
        </c:ser>
        <c:ser>
          <c:idx val="3"/>
          <c:order val="3"/>
          <c:tx>
            <c:strRef>
              <c:f>Monthly_View_with_NSB!$G$46</c:f>
              <c:strCache>
                <c:ptCount val="1"/>
                <c:pt idx="0">
                  <c:v>Solution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Monthly_View_with_NSB!$G$47:$G$59</c:f>
              <c:numCache>
                <c:formatCode>General</c:formatCode>
                <c:ptCount val="1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 formatCode="0.0">
                  <c:v>7</c:v>
                </c:pt>
                <c:pt idx="9" formatCode="0.0">
                  <c:v>7</c:v>
                </c:pt>
                <c:pt idx="10" formatCode="0.0">
                  <c:v>7</c:v>
                </c:pt>
                <c:pt idx="11">
                  <c:v>7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E9-438B-8CD1-F6E565A1CA3B}"/>
            </c:ext>
          </c:extLst>
        </c:ser>
        <c:ser>
          <c:idx val="4"/>
          <c:order val="4"/>
          <c:tx>
            <c:strRef>
              <c:f>Monthly_View_with_NSB!$H$46</c:f>
              <c:strCache>
                <c:ptCount val="1"/>
                <c:pt idx="0">
                  <c:v>WebInfra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Monthly_View_with_NSB!$H$47:$H$59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11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E9-438B-8CD1-F6E565A1CA3B}"/>
            </c:ext>
          </c:extLst>
        </c:ser>
        <c:ser>
          <c:idx val="5"/>
          <c:order val="5"/>
          <c:tx>
            <c:strRef>
              <c:f>Monthly_View_with_NSB!$I$46</c:f>
              <c:strCache>
                <c:ptCount val="1"/>
                <c:pt idx="0">
                  <c:v>PM/TS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Monthly_View_with_NSB!$I$47:$I$59</c:f>
              <c:numCache>
                <c:formatCode>General</c:formatCode>
                <c:ptCount val="13"/>
                <c:pt idx="0">
                  <c:v>11</c:v>
                </c:pt>
                <c:pt idx="1">
                  <c:v>12</c:v>
                </c:pt>
                <c:pt idx="2">
                  <c:v>12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C8-44AB-9D63-D914A334EC25}"/>
            </c:ext>
          </c:extLst>
        </c:ser>
        <c:ser>
          <c:idx val="6"/>
          <c:order val="6"/>
          <c:tx>
            <c:strRef>
              <c:f>Monthly_View_with_NSB!$J$46</c:f>
              <c:strCache>
                <c:ptCount val="1"/>
                <c:pt idx="0">
                  <c:v>AV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Monthly_View_with_NSB!$J$47:$J$59</c:f>
              <c:numCache>
                <c:formatCode>General</c:formatCode>
                <c:ptCount val="13"/>
                <c:pt idx="0">
                  <c:v>50.5</c:v>
                </c:pt>
                <c:pt idx="1">
                  <c:v>50.5</c:v>
                </c:pt>
                <c:pt idx="2">
                  <c:v>49.5</c:v>
                </c:pt>
                <c:pt idx="3">
                  <c:v>40.5</c:v>
                </c:pt>
                <c:pt idx="4">
                  <c:v>41</c:v>
                </c:pt>
                <c:pt idx="5">
                  <c:v>41</c:v>
                </c:pt>
                <c:pt idx="6">
                  <c:v>39</c:v>
                </c:pt>
                <c:pt idx="7">
                  <c:v>50</c:v>
                </c:pt>
                <c:pt idx="8">
                  <c:v>57</c:v>
                </c:pt>
                <c:pt idx="9">
                  <c:v>56</c:v>
                </c:pt>
                <c:pt idx="10">
                  <c:v>56.5</c:v>
                </c:pt>
                <c:pt idx="11">
                  <c:v>56.5</c:v>
                </c:pt>
                <c:pt idx="1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C8-44AB-9D63-D914A334EC25}"/>
            </c:ext>
          </c:extLst>
        </c:ser>
        <c:ser>
          <c:idx val="7"/>
          <c:order val="7"/>
          <c:tx>
            <c:strRef>
              <c:f>Monthly_View_with_NSB!$K$46</c:f>
              <c:strCache>
                <c:ptCount val="1"/>
                <c:pt idx="0">
                  <c:v>AC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Monthly_View_with_NSB!$K$47:$K$59</c:f>
              <c:numCache>
                <c:formatCode>General</c:formatCode>
                <c:ptCount val="13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25</c:v>
                </c:pt>
                <c:pt idx="4">
                  <c:v>27.5</c:v>
                </c:pt>
                <c:pt idx="5">
                  <c:v>28</c:v>
                </c:pt>
                <c:pt idx="6">
                  <c:v>30</c:v>
                </c:pt>
                <c:pt idx="7">
                  <c:v>49.5</c:v>
                </c:pt>
                <c:pt idx="8">
                  <c:v>57.5</c:v>
                </c:pt>
                <c:pt idx="9">
                  <c:v>55.5</c:v>
                </c:pt>
                <c:pt idx="10">
                  <c:v>55.5</c:v>
                </c:pt>
                <c:pt idx="11">
                  <c:v>56.25</c:v>
                </c:pt>
                <c:pt idx="12">
                  <c:v>58.85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C8-44AB-9D63-D914A334EC25}"/>
            </c:ext>
          </c:extLst>
        </c:ser>
        <c:ser>
          <c:idx val="8"/>
          <c:order val="8"/>
          <c:tx>
            <c:strRef>
              <c:f>Monthly_View_with_NSB!$L$46</c:f>
              <c:strCache>
                <c:ptCount val="1"/>
                <c:pt idx="0">
                  <c:v>PCC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Monthly_View_with_NSB!$L$47:$L$59</c:f>
              <c:numCache>
                <c:formatCode>General</c:formatCode>
                <c:ptCount val="13"/>
                <c:pt idx="0">
                  <c:v>21</c:v>
                </c:pt>
                <c:pt idx="1">
                  <c:v>21</c:v>
                </c:pt>
                <c:pt idx="2">
                  <c:v>20</c:v>
                </c:pt>
                <c:pt idx="3">
                  <c:v>23</c:v>
                </c:pt>
                <c:pt idx="4">
                  <c:v>22.5</c:v>
                </c:pt>
                <c:pt idx="5">
                  <c:v>22.5</c:v>
                </c:pt>
                <c:pt idx="6">
                  <c:v>22.5</c:v>
                </c:pt>
                <c:pt idx="7">
                  <c:v>23.5</c:v>
                </c:pt>
                <c:pt idx="8">
                  <c:v>23.5</c:v>
                </c:pt>
                <c:pt idx="9">
                  <c:v>23.5</c:v>
                </c:pt>
                <c:pt idx="10">
                  <c:v>22.5</c:v>
                </c:pt>
                <c:pt idx="11">
                  <c:v>22.5</c:v>
                </c:pt>
                <c:pt idx="12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C8-44AB-9D63-D914A334EC25}"/>
            </c:ext>
          </c:extLst>
        </c:ser>
        <c:ser>
          <c:idx val="9"/>
          <c:order val="9"/>
          <c:tx>
            <c:strRef>
              <c:f>Monthly_View_with_NSB!$M$46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Monthly_View_with_NSB!$C$47:$C$59</c:f>
              <c:numCache>
                <c:formatCode>d\-mmm</c:formatCode>
                <c:ptCount val="1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 formatCode="[$-409]d\-mmm;@">
                  <c:v>42979</c:v>
                </c:pt>
                <c:pt idx="9" formatCode="[$-409]d\-mmm;@">
                  <c:v>43009</c:v>
                </c:pt>
                <c:pt idx="10" formatCode="[$-409]d\-mmm;@">
                  <c:v>43040</c:v>
                </c:pt>
                <c:pt idx="11">
                  <c:v>43070</c:v>
                </c:pt>
                <c:pt idx="12">
                  <c:v>43124</c:v>
                </c:pt>
              </c:numCache>
            </c:numRef>
          </c:cat>
          <c:val>
            <c:numRef>
              <c:f>Monthly_View_with_NSB!$M$47:$M$59</c:f>
              <c:numCache>
                <c:formatCode>General</c:formatCode>
                <c:ptCount val="13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65</c:v>
                </c:pt>
                <c:pt idx="5">
                  <c:v>65</c:v>
                </c:pt>
                <c:pt idx="6">
                  <c:v>67</c:v>
                </c:pt>
                <c:pt idx="7">
                  <c:v>67.5</c:v>
                </c:pt>
                <c:pt idx="8">
                  <c:v>68.5</c:v>
                </c:pt>
                <c:pt idx="9">
                  <c:v>67.5</c:v>
                </c:pt>
                <c:pt idx="10">
                  <c:v>66.5</c:v>
                </c:pt>
                <c:pt idx="11">
                  <c:v>69.5</c:v>
                </c:pt>
                <c:pt idx="12">
                  <c:v>79.900000000000006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C-4A13-BAE2-07D3F3246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3677848"/>
        <c:axId val="233676536"/>
      </c:barChart>
      <c:dateAx>
        <c:axId val="233677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676536"/>
        <c:crosses val="autoZero"/>
        <c:auto val="1"/>
        <c:lblOffset val="100"/>
        <c:baseTimeUnit val="months"/>
      </c:dateAx>
      <c:valAx>
        <c:axId val="23367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67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290511</xdr:colOff>
      <xdr:row>17</xdr:row>
      <xdr:rowOff>0</xdr:rowOff>
    </xdr:from>
    <xdr:to>
      <xdr:col>19</xdr:col>
      <xdr:colOff>523875</xdr:colOff>
      <xdr:row>36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64994</xdr:colOff>
      <xdr:row>13</xdr:row>
      <xdr:rowOff>4482</xdr:rowOff>
    </xdr:from>
    <xdr:to>
      <xdr:col>20</xdr:col>
      <xdr:colOff>231962</xdr:colOff>
      <xdr:row>42</xdr:row>
      <xdr:rowOff>123265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609599</xdr:colOff>
      <xdr:row>41</xdr:row>
      <xdr:rowOff>66675</xdr:rowOff>
    </xdr:from>
    <xdr:to>
      <xdr:col>24</xdr:col>
      <xdr:colOff>1019174</xdr:colOff>
      <xdr:row>71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mar, Bineesh (Nokia - IN/Bangalore)" refreshedDate="43181.927085185183" createdVersion="6" refreshedVersion="6" minRefreshableVersion="3" recordCount="416" xr:uid="{00000000-000A-0000-FFFF-FFFF10000000}">
  <cacheSource type="worksheet">
    <worksheetSource ref="A253" sheet="Persons"/>
  </cacheSource>
  <cacheFields count="22">
    <cacheField name="Team" numFmtId="0">
      <sharedItems containsBlank="1" count="58">
        <s v="Mgmt"/>
        <s v="FO"/>
        <s v="TPM"/>
        <s v="Dev - NAV - Peter Verthez"/>
        <s v="Dev-AMS Plug-Vincent"/>
        <s v="Dev - EP Plugs - Vincent"/>
        <s v="PLM"/>
        <s v="Dev-NAC-JacobK"/>
        <s v="Dev-NAV-Keshava"/>
        <s v="CAM"/>
        <s v="Dev-AMS Maint- Balavignesh"/>
        <s v="Tools"/>
        <s v="Dev-NAC-N.Jagadish"/>
        <s v="Test-AMS App-Arun"/>
        <s v="Dev-AMS Plug-Vidhya"/>
        <s v="Test- EP Plugs - Subbu"/>
        <s v="Test-AMS Solution-Gopi"/>
        <s v="Support"/>
        <s v="Test-NAV-Flori"/>
        <s v="Test-NAC-Ganapathi"/>
        <s v="Test-PCC-ArunS"/>
        <s v="Dev-PCC-Aathif"/>
        <s v="Dev-NAC-Vishal"/>
        <s v="Dev-NAC-Steven"/>
        <s v="Test-AMS Plug-Mahendran"/>
        <s v="Dev-NAC-Kaja"/>
        <s v="Test-Common-Shyam"/>
        <s v="Test-CFT-Ananth"/>
        <s v="Test-NAV-Madhu"/>
        <s v="Dev-Solution-JacobM"/>
        <s v="Dev-NAV-Frederic"/>
        <s v="Dev-APC Maint-Zhengping"/>
        <s v="Dev-FWA-Arul"/>
        <s v="Test-AMS Maint-Soubhagya"/>
        <s v="Test-FWA-Moorthy"/>
        <s v="Dev-PCC-Arul"/>
        <s v="Dev-Arch-Mukesh"/>
        <s v="Test - AMS Plug NSB"/>
        <s v="Test-- AMS App- Junli"/>
        <s v=" Dev - AMS App-Ding"/>
        <s v="Dev - AMS App - Zhen"/>
        <s v="TEC"/>
        <s v="Dev - AMS Plug NSB"/>
        <s v="Dev-AMS-Khanh"/>
        <m/>
        <s v="Dev-APC-Chung"/>
        <s v="Dev-NAV-Toan"/>
        <s v="Dev-NAV-Tan"/>
        <s v="Dev-NAC-Duy"/>
        <s v="Dev-APC Plug-Anh Pham"/>
        <s v="Test-APC Core-Thi"/>
        <s v="Test-APC Plug-Dai"/>
        <s v="Dev-AMS-Viet Le"/>
        <s v="Dev-AMS-Vu"/>
        <s v="Dev-AMS-ToCK"/>
        <s v="Automation"/>
        <s v="Test-AMS App-Tuan Phan"/>
        <s v="iNES"/>
      </sharedItems>
    </cacheField>
    <cacheField name="UPI" numFmtId="0">
      <sharedItems containsBlank="1"/>
    </cacheField>
    <cacheField name="Nokia ID" numFmtId="0">
      <sharedItems containsBlank="1" containsMixedTypes="1" containsNumber="1" containsInteger="1" minValue="62145253" maxValue="69134528"/>
    </cacheField>
    <cacheField name="CSL Name" numFmtId="0">
      <sharedItems containsBlank="1"/>
    </cacheField>
    <cacheField name="Given Name" numFmtId="0">
      <sharedItems containsBlank="1"/>
    </cacheField>
    <cacheField name="Surname" numFmtId="0">
      <sharedItems containsBlank="1"/>
    </cacheField>
    <cacheField name="Name" numFmtId="0">
      <sharedItems containsBlank="1"/>
    </cacheField>
    <cacheField name="Location" numFmtId="0">
      <sharedItems containsBlank="1" count="8">
        <s v="Chennai"/>
        <s v="Antwerp"/>
        <s v="USA"/>
        <s v="Canada"/>
        <s v="Bangalore"/>
        <s v="Shanghai"/>
        <s v="Vietnam"/>
        <m/>
      </sharedItems>
    </cacheField>
    <cacheField name="Organisation" numFmtId="0">
      <sharedItems containsBlank="1" count="6">
        <s v="Nokia"/>
        <s v="Techmahindra"/>
        <s v="Ian Martin"/>
        <s v="NSB Subco"/>
        <s v="TMA"/>
        <m/>
      </sharedItems>
    </cacheField>
    <cacheField name="Role" numFmtId="0">
      <sharedItems containsBlank="1" count="11">
        <s v="Mgmt "/>
        <s v="Sys"/>
        <s v="TPM"/>
        <s v="Dev"/>
        <s v="PLM"/>
        <s v="Support"/>
        <s v="Test"/>
        <s v="NA"/>
        <s v="TEC"/>
        <s v="Auto"/>
        <m/>
      </sharedItems>
    </cacheField>
    <cacheField name="Core/Plug" numFmtId="0">
      <sharedItems containsBlank="1"/>
    </cacheField>
    <cacheField name="Rep Mgr" numFmtId="0">
      <sharedItems containsBlank="1"/>
    </cacheField>
    <cacheField name="Product" numFmtId="0">
      <sharedItems containsBlank="1" count="15">
        <s v="NA"/>
        <s v="EPG"/>
        <s v="AMS"/>
        <s v="CP"/>
        <s v="NAV"/>
        <s v="FWA"/>
        <s v="NAC"/>
        <s v="APC"/>
        <s v="IDM/SDC"/>
        <s v="OAD"/>
        <s v="AMS Maintenance"/>
        <s v="OS"/>
        <s v="PCC"/>
        <s v="Solution"/>
        <m/>
      </sharedItems>
    </cacheField>
    <cacheField name="Loc Mgr" numFmtId="0">
      <sharedItems containsBlank="1"/>
    </cacheField>
    <cacheField name="Alloc" numFmtId="0">
      <sharedItems containsString="0" containsBlank="1" containsNumber="1" minValue="0" maxValue="1"/>
    </cacheField>
    <cacheField name="Remark" numFmtId="0">
      <sharedItems containsBlank="1"/>
    </cacheField>
    <cacheField name="Entry date" numFmtId="166">
      <sharedItems containsNonDate="0" containsDate="1" containsString="0" containsBlank="1" minDate="2000-01-01T00:00:00" maxDate="2018-05-01T00:00:00"/>
    </cacheField>
    <cacheField name="Exit date" numFmtId="166">
      <sharedItems containsNonDate="0" containsDate="1" containsString="0" containsBlank="1" minDate="2017-07-01T00:00:00" maxDate="3000-01-02T00:00:00"/>
    </cacheField>
    <cacheField name="Act Alloc" numFmtId="0">
      <sharedItems containsString="0" containsBlank="1" containsNumber="1" minValue="0" maxValue="1"/>
    </cacheField>
    <cacheField name="Email" numFmtId="0">
      <sharedItems containsBlank="1"/>
    </cacheField>
    <cacheField name="N-3 Org" numFmtId="0">
      <sharedItems containsBlank="1"/>
    </cacheField>
    <cacheField name="Resource 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6">
  <r>
    <x v="0"/>
    <s v="PA0000318"/>
    <n v="69044749"/>
    <s v="kksri"/>
    <s v="Srinivasan K"/>
    <s v="KIDAMBI"/>
    <s v="K K Srinivasan"/>
    <x v="0"/>
    <x v="0"/>
    <x v="0"/>
    <s v="NA"/>
    <s v="Federico G"/>
    <x v="0"/>
    <s v="KK"/>
    <n v="1"/>
    <m/>
    <d v="2000-01-01T00:00:00"/>
    <d v="3000-01-01T00:00:00"/>
    <n v="1"/>
    <s v="srinivasan.k_k@nokia.com"/>
    <s v="Central Team"/>
    <s v="In Headcount Internals"/>
  </r>
  <r>
    <x v="0"/>
    <s v="AA0045319"/>
    <n v="69026457"/>
    <s v="hoeydonb"/>
    <s v="Bart"/>
    <s v="Van Hoeydonck"/>
    <s v="VAN HOEYDONCK Bart"/>
    <x v="1"/>
    <x v="0"/>
    <x v="0"/>
    <s v="New"/>
    <s v="KK"/>
    <x v="1"/>
    <s v="Bart"/>
    <n v="1"/>
    <m/>
    <d v="2000-01-01T00:00:00"/>
    <d v="3000-01-01T00:00:00"/>
    <n v="1"/>
    <s v="bart.van_hoeydonck@nokia.com"/>
    <s v="5520/29 Core PDL"/>
    <s v="In Headcount Internals"/>
  </r>
  <r>
    <x v="1"/>
    <s v="AA0086184"/>
    <n v="69026796"/>
    <s v="beauviyv"/>
    <s v="Yves"/>
    <s v="Beauville"/>
    <s v="BEAUVILLE Yves"/>
    <x v="1"/>
    <x v="0"/>
    <x v="1"/>
    <s v="NA"/>
    <s v="Krishnakumar"/>
    <x v="1"/>
    <s v="Bart"/>
    <n v="0.75"/>
    <m/>
    <d v="2000-01-01T00:00:00"/>
    <d v="3000-01-01T00:00:00"/>
    <n v="0.75"/>
    <s v="yves.beauville@nokia.com"/>
    <s v="System Engineering"/>
    <s v="In Headcount Internals"/>
  </r>
  <r>
    <x v="1"/>
    <s v="AA0086184"/>
    <n v="69026796"/>
    <s v="beauviyv"/>
    <s v="Yves"/>
    <s v="Beauville"/>
    <s v="BEAUVILLE Yves"/>
    <x v="1"/>
    <x v="0"/>
    <x v="1"/>
    <s v="NA"/>
    <s v="Krishnakumar"/>
    <x v="2"/>
    <s v="Bart"/>
    <n v="0.25"/>
    <m/>
    <d v="2000-01-01T00:00:00"/>
    <d v="3000-01-01T00:00:00"/>
    <n v="0.25"/>
    <s v="yves.beauville@nokia.com"/>
    <s v="Duplicate System Engineering"/>
    <s v="In Headcount Internals"/>
  </r>
  <r>
    <x v="1"/>
    <s v="AA0070876"/>
    <n v="69026591"/>
    <s v="beylsp"/>
    <s v="Philip"/>
    <s v="Beyls"/>
    <s v="BEYLS Philip"/>
    <x v="1"/>
    <x v="0"/>
    <x v="1"/>
    <s v="NA"/>
    <s v="Krishnakumar"/>
    <x v="1"/>
    <s v="Bart"/>
    <n v="0.6"/>
    <m/>
    <d v="2000-01-01T00:00:00"/>
    <d v="3000-01-01T00:00:00"/>
    <n v="0.6"/>
    <s v="philip.beyls@nokia.com"/>
    <s v="System Engineering"/>
    <s v="In Headcount Internals"/>
  </r>
  <r>
    <x v="1"/>
    <s v="AA0070876"/>
    <n v="69026591"/>
    <s v="beylsp"/>
    <s v="Philip"/>
    <s v="Beyls"/>
    <s v="BEYLS Philip"/>
    <x v="1"/>
    <x v="0"/>
    <x v="1"/>
    <s v="NA"/>
    <s v="Krishnakumar"/>
    <x v="2"/>
    <s v="Bart"/>
    <n v="0.4"/>
    <m/>
    <d v="2000-01-01T00:00:00"/>
    <d v="3000-01-01T00:00:00"/>
    <n v="0.4"/>
    <s v="philip.beyls@nokia.com"/>
    <s v="Duplicate System Engineering"/>
    <s v="In Headcount Internals"/>
  </r>
  <r>
    <x v="1"/>
    <s v="AA0079086"/>
    <n v="69026650"/>
    <s v="bontridp"/>
    <s v="Philippe"/>
    <s v="De Bontridder"/>
    <s v="DE BONTRIDDER Philippe"/>
    <x v="1"/>
    <x v="0"/>
    <x v="1"/>
    <s v="NA"/>
    <s v="Krishnakumar"/>
    <x v="1"/>
    <s v="Bart"/>
    <n v="0.65"/>
    <m/>
    <d v="2000-01-01T00:00:00"/>
    <d v="3000-01-01T00:00:00"/>
    <n v="0.65"/>
    <s v="philippe.de_bontridder@nokia.com"/>
    <s v="System Engineering"/>
    <s v="In Headcount Internals"/>
  </r>
  <r>
    <x v="1"/>
    <s v="AA0079086"/>
    <n v="69026650"/>
    <s v="bontridp"/>
    <s v="Philippe"/>
    <s v="De Bontridder"/>
    <s v="DE BONTRIDDER Philippe"/>
    <x v="1"/>
    <x v="0"/>
    <x v="1"/>
    <s v="NA"/>
    <s v="Krishnakumar"/>
    <x v="2"/>
    <s v="Bart"/>
    <n v="0.35"/>
    <m/>
    <d v="2000-01-01T00:00:00"/>
    <d v="3000-01-01T00:00:00"/>
    <n v="0.35"/>
    <s v="philippe.de_bontridder@nokia.com"/>
    <s v="System Engineering"/>
    <s v="In Headcount Internals"/>
  </r>
  <r>
    <x v="1"/>
    <s v="AA0083596"/>
    <n v="69026756"/>
    <s v="rooijenp"/>
    <s v="Paul"/>
    <s v="Den Rooijen"/>
    <s v="Den Rooijen Paul"/>
    <x v="1"/>
    <x v="0"/>
    <x v="1"/>
    <s v="NA"/>
    <s v="Krishnakumar"/>
    <x v="2"/>
    <s v="Bart"/>
    <n v="1"/>
    <m/>
    <d v="2000-01-01T00:00:00"/>
    <d v="3000-01-01T00:00:00"/>
    <n v="1"/>
    <s v="paul.den_rooijen@nokia.com"/>
    <s v="System Engineering"/>
    <s v="In Headcount Internals"/>
  </r>
  <r>
    <x v="2"/>
    <s v="AA0076364"/>
    <n v="69026633"/>
    <s v="moonsjo"/>
    <s v="Joris"/>
    <s v="Moons"/>
    <s v="MOONS Joris"/>
    <x v="1"/>
    <x v="0"/>
    <x v="2"/>
    <s v="Plug"/>
    <s v="Manoj"/>
    <x v="3"/>
    <s v="Bart"/>
    <n v="0.5"/>
    <m/>
    <d v="2000-01-01T00:00:00"/>
    <d v="3000-01-01T00:00:00"/>
    <n v="0.5"/>
    <s v="joris.moons@nokia.com"/>
    <s v="5520/29 PlugIn PDL"/>
    <s v="In Headcount Internals"/>
  </r>
  <r>
    <x v="2"/>
    <s v="AA0076364"/>
    <n v="69026633"/>
    <s v="moonsjo"/>
    <s v="Joris"/>
    <s v="Moons"/>
    <s v="MOONS Joris"/>
    <x v="1"/>
    <x v="0"/>
    <x v="2"/>
    <s v="Plug"/>
    <s v="Manoj"/>
    <x v="4"/>
    <s v="Bart"/>
    <n v="0.5"/>
    <m/>
    <d v="2000-01-01T00:00:00"/>
    <d v="3000-01-01T00:00:00"/>
    <n v="0.5"/>
    <s v="joris.moons@nokia.com"/>
    <s v="5520/29 PlugIn PDL"/>
    <s v="In Headcount Internals"/>
  </r>
  <r>
    <x v="3"/>
    <s v="AA0064139"/>
    <n v="69026560"/>
    <s v="verthezp"/>
    <s v="Peter"/>
    <s v="Verthez"/>
    <s v="VERTHEZ Peter"/>
    <x v="1"/>
    <x v="0"/>
    <x v="3"/>
    <s v="New"/>
    <s v="CK"/>
    <x v="4"/>
    <s v="Bart"/>
    <n v="1"/>
    <s v="IA"/>
    <d v="2000-01-01T00:00:00"/>
    <d v="3000-01-01T00:00:00"/>
    <n v="1"/>
    <s v="peter.verthez@nokia.com"/>
    <s v="Duplicate Global CAM"/>
    <s v="In Headcount Internals"/>
  </r>
  <r>
    <x v="4"/>
    <s v="AAT016578"/>
    <n v="69062397"/>
    <s v="viburgra"/>
    <s v="Vincent"/>
    <s v="Burgraeve"/>
    <s v="BURGRAEVE Vincent"/>
    <x v="1"/>
    <x v="0"/>
    <x v="3"/>
    <s v="Plug"/>
    <s v="CK"/>
    <x v="2"/>
    <s v="Bart"/>
    <n v="0.5"/>
    <s v="IA"/>
    <d v="2000-01-01T00:00:00"/>
    <d v="3000-01-01T00:00:00"/>
    <n v="0.5"/>
    <s v="vincent.burgraeve@nokia.com"/>
    <s v="Global CAM"/>
    <s v="In Headcount Internals"/>
  </r>
  <r>
    <x v="5"/>
    <s v="AAT016578"/>
    <n v="69062397"/>
    <s v="viburgra"/>
    <s v="Vincent"/>
    <s v="Burgraeve"/>
    <s v="BURGRAEVE Vincent"/>
    <x v="1"/>
    <x v="0"/>
    <x v="3"/>
    <s v="Plug"/>
    <s v="CK"/>
    <x v="4"/>
    <s v="Bart"/>
    <n v="0.5"/>
    <s v="IA"/>
    <d v="2000-01-01T00:00:00"/>
    <d v="3000-01-01T00:00:00"/>
    <n v="0.5"/>
    <s v="vincent.burgraeve@nokia.com"/>
    <s v="Global CAM"/>
    <s v="In Headcount Internals"/>
  </r>
  <r>
    <x v="6"/>
    <s v="AA0046085"/>
    <n v="69026543"/>
    <s v="eeraertw"/>
    <s v="Willem"/>
    <s v="Eeraerts"/>
    <s v="EERAERTS Willem"/>
    <x v="1"/>
    <x v="0"/>
    <x v="4"/>
    <s v="NA"/>
    <s v="RonH"/>
    <x v="2"/>
    <s v="Bart"/>
    <n v="0.5"/>
    <m/>
    <d v="2000-01-01T00:00:00"/>
    <d v="3000-01-01T00:00:00"/>
    <n v="0.5"/>
    <s v="willem.eeraerts@nokia.com"/>
    <s v="PLM-Rest of World and Business Support"/>
    <s v="In Headcount Internals"/>
  </r>
  <r>
    <x v="6"/>
    <s v="AA0046085"/>
    <n v="69026543"/>
    <s v="eeraertw"/>
    <s v="Willem"/>
    <s v="Eeraerts"/>
    <s v="EERAERTS Willem"/>
    <x v="1"/>
    <x v="0"/>
    <x v="4"/>
    <s v="NA"/>
    <s v="Pulak"/>
    <x v="5"/>
    <s v="Bart"/>
    <n v="0.5"/>
    <m/>
    <d v="2000-01-01T00:00:00"/>
    <d v="3000-01-01T00:00:00"/>
    <n v="0.5"/>
    <s v="willem.eeraerts@nokia.com"/>
    <s v="PLM-Rest of World and Business Support"/>
    <s v="In Headcount Internals"/>
  </r>
  <r>
    <x v="6"/>
    <s v="AA0097621"/>
    <n v="69026884"/>
    <s v="wvranckx"/>
    <s v="Werner"/>
    <s v="Vranckx"/>
    <s v="VRANCKX Werner"/>
    <x v="1"/>
    <x v="0"/>
    <x v="4"/>
    <s v="NA"/>
    <s v="RonH"/>
    <x v="4"/>
    <s v="Bart"/>
    <n v="1"/>
    <m/>
    <d v="2000-01-01T00:00:00"/>
    <d v="3000-01-01T00:00:00"/>
    <n v="1"/>
    <s v="werner.vranckx@nokia.com"/>
    <s v="PLM-Rest of World and Business Support"/>
    <s v="In Headcount Internals"/>
  </r>
  <r>
    <x v="6"/>
    <s v="AA0038698"/>
    <n v="69026076"/>
    <s v="franckap"/>
    <s v="Peggy"/>
    <s v="Franckaert"/>
    <s v="FRANCKAERT Peggy"/>
    <x v="1"/>
    <x v="0"/>
    <x v="4"/>
    <s v="NA"/>
    <s v="RonH"/>
    <x v="0"/>
    <s v="Bart"/>
    <n v="1"/>
    <m/>
    <d v="2000-01-01T00:00:00"/>
    <d v="3000-01-01T00:00:00"/>
    <n v="1"/>
    <s v="Peggy.Franckaert@nokia.com"/>
    <s v="PLM-Rest of World and Business Support"/>
    <s v="In Headcount Internals"/>
  </r>
  <r>
    <x v="6"/>
    <s v="AA0101075"/>
    <n v="69027017"/>
    <s v="emanniec"/>
    <s v="Eric"/>
    <s v="Mannie-Corbisier"/>
    <s v="MANNIE CORBISIER Eric"/>
    <x v="1"/>
    <x v="0"/>
    <x v="4"/>
    <s v="NA"/>
    <s v="Pulak"/>
    <x v="1"/>
    <s v="Bart"/>
    <n v="1"/>
    <m/>
    <d v="2000-01-01T00:00:00"/>
    <d v="3000-01-01T00:00:00"/>
    <n v="1"/>
    <s v="Eric.Mannie-Corbisier@nokia.com"/>
    <s v="557x Emerging Portfolio Group"/>
    <s v="In Headcount Internals"/>
  </r>
  <r>
    <x v="6"/>
    <s v="AA0098100"/>
    <n v="69026902"/>
    <s v="kstruyve"/>
    <s v="Kris"/>
    <s v="Struyve"/>
    <s v="STRUYVE Kris"/>
    <x v="1"/>
    <x v="0"/>
    <x v="4"/>
    <s v="NA"/>
    <s v="RonH"/>
    <x v="2"/>
    <s v="Bart"/>
    <n v="1"/>
    <m/>
    <d v="2000-01-01T00:00:00"/>
    <d v="3000-01-01T00:00:00"/>
    <n v="1"/>
    <s v="kris.struyve@nokia.com"/>
    <s v="PLM-Rest of World and Business Support"/>
    <s v="In Headcount Internals"/>
  </r>
  <r>
    <x v="0"/>
    <s v="AAT100145"/>
    <n v="69065118"/>
    <s v="svanhoof"/>
    <s v="Steven"/>
    <s v="Van Hoof"/>
    <s v="VAN HOOF Steven"/>
    <x v="1"/>
    <x v="0"/>
    <x v="0"/>
    <s v="NA"/>
    <s v="KK"/>
    <x v="1"/>
    <s v="Bart"/>
    <n v="1"/>
    <m/>
    <d v="2000-01-01T00:00:00"/>
    <d v="3000-01-01T00:00:00"/>
    <n v="1"/>
    <s v="steven.van_hoof@nokia.com"/>
    <s v="Global CAM"/>
    <s v="In Headcount Internals"/>
  </r>
  <r>
    <x v="0"/>
    <s v="KA0000193"/>
    <n v="69042256"/>
    <s v="pmichiel"/>
    <s v="Peter"/>
    <s v="Michielsen"/>
    <s v="MICHIELSEN Peter"/>
    <x v="2"/>
    <x v="0"/>
    <x v="0"/>
    <s v="Core"/>
    <s v="KK"/>
    <x v="3"/>
    <s v="RobDV"/>
    <n v="1"/>
    <m/>
    <d v="2000-01-01T00:00:00"/>
    <d v="3000-01-01T00:00:00"/>
    <n v="1"/>
    <s v="peter.michielsen@nokia.com"/>
    <s v="5520/29 Core PDL"/>
    <s v="In Headcount Internals"/>
  </r>
  <r>
    <x v="6"/>
    <s v="JF0028030"/>
    <n v="69041657"/>
    <s v="olehavot"/>
    <s v="Ofer"/>
    <s v="Lehavot"/>
    <s v="LEHAVOT Ofer"/>
    <x v="2"/>
    <x v="0"/>
    <x v="4"/>
    <s v="NA"/>
    <s v="Pulak"/>
    <x v="6"/>
    <s v="RonH"/>
    <n v="1"/>
    <m/>
    <d v="2000-01-01T00:00:00"/>
    <d v="3000-01-01T00:00:00"/>
    <n v="1"/>
    <s v="ofer.lehavot@nokia.com"/>
    <s v="557x Emerging Portfolio Group"/>
    <s v="In Headcount Internals"/>
  </r>
  <r>
    <x v="6"/>
    <s v="JF0013815"/>
    <n v="69041269"/>
    <s v="bnickers"/>
    <s v="Billy"/>
    <s v="Nickerson"/>
    <s v="NICKERSON Billy"/>
    <x v="2"/>
    <x v="0"/>
    <x v="4"/>
    <s v="NA"/>
    <s v="RonH"/>
    <x v="2"/>
    <s v="RonH"/>
    <n v="1"/>
    <m/>
    <d v="2000-01-01T00:00:00"/>
    <d v="3000-01-01T00:00:00"/>
    <n v="1"/>
    <s v="billy.nickerson@nokia.com"/>
    <s v="PLM-Rest of World and Business Support"/>
    <s v="In Headcount Internals"/>
  </r>
  <r>
    <x v="6"/>
    <s v="LL0008900"/>
    <n v="69043303"/>
    <s v="rhuberma"/>
    <s v="Ron"/>
    <s v="Huberman"/>
    <s v="HUBERMAN Ron"/>
    <x v="3"/>
    <x v="0"/>
    <x v="0"/>
    <s v="NA"/>
    <s v="KK"/>
    <x v="2"/>
    <s v="RonH"/>
    <n v="1"/>
    <m/>
    <d v="2000-01-01T00:00:00"/>
    <d v="3000-01-01T00:00:00"/>
    <n v="1"/>
    <s v="ron.huberman@nokia.com"/>
    <s v="PLM-Rest of World and Business Support"/>
    <s v="In Headcount Internals"/>
  </r>
  <r>
    <x v="6"/>
    <s v="LL0002561"/>
    <n v="69042902"/>
    <s v="rdevlugt"/>
    <s v="Rob"/>
    <s v="De Vlugt"/>
    <s v="DE VLUGT Rob"/>
    <x v="3"/>
    <x v="0"/>
    <x v="0"/>
    <s v="New"/>
    <s v="Pulak"/>
    <x v="1"/>
    <s v="RobDV"/>
    <n v="1"/>
    <m/>
    <d v="2000-01-01T00:00:00"/>
    <d v="3000-01-01T00:00:00"/>
    <n v="1"/>
    <s v="rob.de_vlugt@nokia.com"/>
    <s v="5520/29 PlugIn PDL"/>
    <s v="In Headcount Internals"/>
  </r>
  <r>
    <x v="1"/>
    <s v="LL0009997"/>
    <n v="69043359"/>
    <s v="hismaili"/>
    <s v="Hamid"/>
    <s v="Ismaili"/>
    <s v="ISMAILI Hamid"/>
    <x v="3"/>
    <x v="0"/>
    <x v="1"/>
    <s v="NA"/>
    <s v="Krishnakumar"/>
    <x v="1"/>
    <s v="RonH"/>
    <n v="0.6"/>
    <m/>
    <d v="2000-01-01T00:00:00"/>
    <d v="3000-01-01T00:00:00"/>
    <n v="0.6"/>
    <s v="hamid.ismaili@nokia.com"/>
    <s v="System Engineering"/>
    <s v="In Headcount Internals"/>
  </r>
  <r>
    <x v="1"/>
    <s v="LL0009997"/>
    <n v="69043359"/>
    <s v="hismaili"/>
    <s v="Hamid"/>
    <s v="Ismaili"/>
    <s v="ISMAILI Hamid"/>
    <x v="3"/>
    <x v="0"/>
    <x v="1"/>
    <s v="NA"/>
    <s v="Krishnakumar"/>
    <x v="7"/>
    <s v="RonH"/>
    <n v="0.4"/>
    <m/>
    <d v="2000-01-01T00:00:00"/>
    <d v="3000-01-01T00:00:00"/>
    <n v="0.4"/>
    <s v="hamid.ismaili@nokia.com"/>
    <s v="System Engineering"/>
    <s v="In Headcount Internals"/>
  </r>
  <r>
    <x v="1"/>
    <s v="LL0003447"/>
    <n v="69042975"/>
    <s v="fouaton"/>
    <s v="Francis"/>
    <s v="Ouaton"/>
    <s v="OUATON Francis"/>
    <x v="3"/>
    <x v="0"/>
    <x v="1"/>
    <s v="NA"/>
    <s v="Krishnakumar"/>
    <x v="1"/>
    <s v="RonH"/>
    <n v="0.75"/>
    <m/>
    <d v="2000-01-01T00:00:00"/>
    <d v="3000-01-01T00:00:00"/>
    <n v="0.75"/>
    <s v="francis.ouaton@nokia.com"/>
    <s v="System Engineering"/>
    <s v="In Headcount Internals"/>
  </r>
  <r>
    <x v="1"/>
    <s v="LL0003447"/>
    <n v="69042975"/>
    <s v="fouaton"/>
    <s v="Francis"/>
    <s v="Ouaton"/>
    <s v="OUATON Francis"/>
    <x v="3"/>
    <x v="0"/>
    <x v="1"/>
    <s v="NA"/>
    <s v="Krishnakumar"/>
    <x v="7"/>
    <s v="RonH"/>
    <n v="0.25"/>
    <m/>
    <d v="2000-01-01T00:00:00"/>
    <d v="3000-01-01T00:00:00"/>
    <n v="0.25"/>
    <s v="francis.ouaton@nokia.com"/>
    <s v="System Engineering"/>
    <s v="In Headcount Internals"/>
  </r>
  <r>
    <x v="2"/>
    <s v="LL0010245"/>
    <n v="69043387"/>
    <s v="cmarulan"/>
    <s v="Cindy"/>
    <s v="Plaza"/>
    <s v="PLAZA Cindy"/>
    <x v="3"/>
    <x v="0"/>
    <x v="2"/>
    <s v="Core"/>
    <s v="Peter M"/>
    <x v="3"/>
    <s v="RobDV"/>
    <n v="1"/>
    <s v="Plug Maintenance"/>
    <d v="2000-01-01T00:00:00"/>
    <d v="3000-01-01T00:00:00"/>
    <n v="1"/>
    <s v="cindy.plaza@nokia.com"/>
    <s v="5520/29 Core PDL"/>
    <s v="In Headcount Internals"/>
  </r>
  <r>
    <x v="2"/>
    <s v="LL0007962"/>
    <n v="69043244"/>
    <s v="krefai"/>
    <s v="Khaled"/>
    <s v="Refai"/>
    <s v="REFAI Khaled"/>
    <x v="3"/>
    <x v="0"/>
    <x v="2"/>
    <s v="Plug"/>
    <s v="Manoj"/>
    <x v="3"/>
    <s v="RobDV"/>
    <n v="1"/>
    <s v="Lead TPM for APC Plug"/>
    <d v="2000-01-01T00:00:00"/>
    <d v="3000-01-01T00:00:00"/>
    <n v="1"/>
    <s v="khaled.refai@nokia.com"/>
    <s v="5520/29 PlugIn PDL"/>
    <s v="In Headcount Internals"/>
  </r>
  <r>
    <x v="7"/>
    <s v="ZZ0013636"/>
    <n v="69056925"/>
    <s v="ydennisj"/>
    <s v="Yvette"/>
    <s v="Dennis Joseph"/>
    <s v="DENNIS JOSEPH Yvette"/>
    <x v="4"/>
    <x v="0"/>
    <x v="3"/>
    <s v="New"/>
    <s v="Bineesh"/>
    <x v="6"/>
    <s v="CK"/>
    <n v="1"/>
    <m/>
    <d v="2000-01-01T00:00:00"/>
    <d v="3000-01-01T00:00:00"/>
    <n v="1"/>
    <s v="yvette.dennis_joseph@nokia.com"/>
    <s v="Global CAM"/>
    <s v="In Headcount Internals"/>
  </r>
  <r>
    <x v="8"/>
    <s v="ZZ0013134"/>
    <n v="69056816"/>
    <s v="sathispo"/>
    <s v="Sathish Kumar"/>
    <s v="Ponnusamy"/>
    <s v="PONNUSAMY Kumar Satish"/>
    <x v="4"/>
    <x v="0"/>
    <x v="3"/>
    <s v="New"/>
    <s v="Bineesh"/>
    <x v="4"/>
    <s v="CK"/>
    <n v="1"/>
    <s v="Joined ANV Dev on 20 Jul 2016"/>
    <d v="2000-01-01T00:00:00"/>
    <d v="3000-01-01T00:00:00"/>
    <n v="1"/>
    <s v="sathish_kumar.ponnusamy@nokia.com"/>
    <s v="Global CAM"/>
    <s v="In Headcount Internals"/>
  </r>
  <r>
    <x v="6"/>
    <s v="LL0003347"/>
    <n v="69042965"/>
    <s v="srosenbe"/>
    <s v="Stephen"/>
    <s v="Rosenberger"/>
    <s v="ROSENBERGER Stephen"/>
    <x v="3"/>
    <x v="0"/>
    <x v="4"/>
    <s v="NA"/>
    <s v="RonH"/>
    <x v="8"/>
    <s v="RonH"/>
    <n v="0.6"/>
    <m/>
    <d v="2000-01-01T00:00:00"/>
    <d v="3000-01-01T00:00:00"/>
    <n v="0.6"/>
    <s v="stephen.rosenberger@nokia.com"/>
    <s v="PLM-Rest of World and Business Support"/>
    <s v="In Headcount Internals"/>
  </r>
  <r>
    <x v="6"/>
    <s v="LL0003347"/>
    <n v="69042965"/>
    <s v="srosenbe"/>
    <s v="Stephen"/>
    <s v="Rosenberger"/>
    <s v="ROSENBERGER Stephen"/>
    <x v="3"/>
    <x v="0"/>
    <x v="4"/>
    <s v="NA"/>
    <s v="RonH"/>
    <x v="9"/>
    <s v="RonH"/>
    <n v="0.4"/>
    <m/>
    <d v="2000-01-01T00:00:00"/>
    <d v="3000-01-01T00:00:00"/>
    <n v="0.4"/>
    <s v="stephen.rosenberger@nokia.com"/>
    <s v="Duplicate PLM-Rest of World and Business Support"/>
    <s v="In Headcount Internals"/>
  </r>
  <r>
    <x v="9"/>
    <s v="PA0011442"/>
    <n v="69060700"/>
    <s v="bineesh"/>
    <s v="Bineesh"/>
    <s v="KUMAR P"/>
    <s v="KUMAR P Bineesh"/>
    <x v="4"/>
    <x v="0"/>
    <x v="0"/>
    <s v="NA"/>
    <s v="CK"/>
    <x v="0"/>
    <s v="CK"/>
    <n v="1"/>
    <m/>
    <d v="2000-01-01T00:00:00"/>
    <d v="3000-01-01T00:00:00"/>
    <n v="1"/>
    <s v="bineesh.kumar@nokia.com"/>
    <s v="Global CAM"/>
    <s v="In Headcount Internals"/>
  </r>
  <r>
    <x v="6"/>
    <s v="HZ0004897"/>
    <n v="69040540"/>
    <s v="krishnar"/>
    <s v="RAMACHANDRAN"/>
    <s v="K"/>
    <s v="RAMACHANDRAN Krishnamurthy"/>
    <x v="0"/>
    <x v="0"/>
    <x v="4"/>
    <s v="NA"/>
    <s v="Pulak"/>
    <x v="2"/>
    <s v="Pulak"/>
    <n v="1"/>
    <m/>
    <d v="2000-01-01T00:00:00"/>
    <d v="3000-01-01T00:00:00"/>
    <n v="1"/>
    <s v="krishnamurthy.ramachandran@nokia.com"/>
    <s v="PLM-APAC"/>
    <s v="In Headcount Internals"/>
  </r>
  <r>
    <x v="10"/>
    <s v="HZ0062304"/>
    <n v="69040575"/>
    <s v="muthuk"/>
    <s v="Muthuramasankar"/>
    <s v="Kumarasamy"/>
    <s v="KUMARASAMY Muthuramasankar"/>
    <x v="2"/>
    <x v="0"/>
    <x v="3"/>
    <s v="Core"/>
    <s v="CK"/>
    <x v="10"/>
    <s v="CK"/>
    <n v="0.5"/>
    <s v="IA"/>
    <d v="2000-01-01T00:00:00"/>
    <d v="3000-01-01T00:00:00"/>
    <n v="0.5"/>
    <s v="muthuramasankar.kumarasamy@nokia.com"/>
    <s v="Global CAM"/>
    <s v="In Headcount Internals"/>
  </r>
  <r>
    <x v="11"/>
    <s v="HZ0062304"/>
    <n v="69040575"/>
    <s v="muthuk"/>
    <s v="Muthuramasankar"/>
    <s v="Kumarasamy"/>
    <s v="KUMARASAMY Muthuramasankar"/>
    <x v="2"/>
    <x v="0"/>
    <x v="5"/>
    <s v="NA"/>
    <s v="CK"/>
    <x v="0"/>
    <s v="CK"/>
    <n v="0.5"/>
    <s v="IA"/>
    <d v="2000-01-01T00:00:00"/>
    <d v="3000-01-01T00:00:00"/>
    <n v="0.5"/>
    <s v="muthuramasankar.kumarasamy@nokia.com"/>
    <s v="Global CAM"/>
    <s v="In Headcount Internals"/>
  </r>
  <r>
    <x v="11"/>
    <s v="HZ0095705"/>
    <n v="69040592"/>
    <s v="psriramu"/>
    <s v="PARANTHAMAN"/>
    <s v="S"/>
    <s v="SRIRAMULU Paranthaman"/>
    <x v="0"/>
    <x v="0"/>
    <x v="5"/>
    <s v="NA"/>
    <s v="SVGK"/>
    <x v="0"/>
    <s v="CK"/>
    <n v="1"/>
    <m/>
    <d v="2000-01-01T00:00:00"/>
    <d v="2018-01-12T00:00:00"/>
    <n v="0"/>
    <s v="paranthaman.sriramulu@nokia.com"/>
    <s v="Global CAM"/>
    <s v="In Headcount Internals"/>
  </r>
  <r>
    <x v="12"/>
    <s v="PA0020371"/>
    <n v="69051035"/>
    <s v="kmandal"/>
    <s v="Kaushik"/>
    <s v="MANDAL"/>
    <s v="MANDAL Kaushik"/>
    <x v="4"/>
    <x v="0"/>
    <x v="3"/>
    <s v="New"/>
    <s v="Bineesh"/>
    <x v="6"/>
    <s v="CK"/>
    <n v="1"/>
    <m/>
    <d v="2000-01-01T00:00:00"/>
    <d v="3000-01-01T00:00:00"/>
    <n v="1"/>
    <s v="kaushik.mandal@nokia.com"/>
    <s v="Global CAM"/>
    <s v="In Headcount Internals"/>
  </r>
  <r>
    <x v="10"/>
    <s v="HZ0141305"/>
    <n v="69040647"/>
    <s v="bsethupa"/>
    <s v="Balavignesh"/>
    <s v="Sethupathi"/>
    <s v="SETHUPATHI Balavignesh"/>
    <x v="0"/>
    <x v="0"/>
    <x v="3"/>
    <s v="Core"/>
    <s v="Kudallur"/>
    <x v="10"/>
    <s v="CK"/>
    <n v="1"/>
    <s v="Taken over as IA of Maint Dev team"/>
    <d v="2000-01-01T00:00:00"/>
    <d v="3000-01-01T00:00:00"/>
    <n v="1"/>
    <s v="balavignesh.sethupathi@nokia.com "/>
    <s v="Global CAM"/>
    <s v="In Headcount Internals"/>
  </r>
  <r>
    <x v="13"/>
    <s v="HZ0190006"/>
    <n v="69040700"/>
    <s v="rmotupal"/>
    <s v="RAJA KUMAR"/>
    <s v="M"/>
    <s v="MOTUPALLE Raja"/>
    <x v="4"/>
    <x v="0"/>
    <x v="6"/>
    <s v="New"/>
    <s v="Bineesh"/>
    <x v="4"/>
    <s v="CK"/>
    <n v="1"/>
    <s v="Virtual allocation of 1 HC in Arul's team for AV-A test"/>
    <d v="2000-01-01T00:00:00"/>
    <d v="3000-01-01T00:00:00"/>
    <n v="1"/>
    <s v="raja.motupalle@nokia.com"/>
    <s v="Global CAM"/>
    <s v="In Headcount Internals"/>
  </r>
  <r>
    <x v="13"/>
    <s v="PA0044291"/>
    <n v="69061569"/>
    <s v="arsivane"/>
    <s v="ARUN KUMAR"/>
    <s v="SIVANESAN"/>
    <s v="SIVANESAN Arun Kumar"/>
    <x v="4"/>
    <x v="0"/>
    <x v="6"/>
    <s v="Core"/>
    <s v="CK"/>
    <x v="2"/>
    <s v="CK"/>
    <n v="1"/>
    <m/>
    <d v="2000-01-01T00:00:00"/>
    <d v="3000-01-01T00:00:00"/>
    <n v="1"/>
    <s v="arun_kumar.sivanesan@nokia.com"/>
    <s v="Product Validation"/>
    <s v="In Headcount Internals"/>
  </r>
  <r>
    <x v="8"/>
    <s v="HR0007218"/>
    <n v="69040358"/>
    <s v="kbhatk"/>
    <s v="Keshava Krishna"/>
    <s v="Bhat KEDUMPADY"/>
    <s v="BHAT K Keshava Krishna"/>
    <x v="4"/>
    <x v="0"/>
    <x v="3"/>
    <s v="New"/>
    <s v="Bineesh"/>
    <x v="11"/>
    <s v="CK"/>
    <n v="1"/>
    <m/>
    <d v="2000-01-01T00:00:00"/>
    <d v="3000-01-01T00:00:00"/>
    <n v="1"/>
    <s v="keshava_krishna.bhat_k@nokia.com"/>
    <s v="Global CAM"/>
    <s v="In Headcount Internals"/>
  </r>
  <r>
    <x v="14"/>
    <s v="HR0008009"/>
    <n v="69059616"/>
    <s v="dekengon"/>
    <s v="DEEPA KRISHNA"/>
    <s v="KENGOND"/>
    <s v="KENGOND1 Deepa"/>
    <x v="4"/>
    <x v="0"/>
    <x v="3"/>
    <s v="Plug"/>
    <s v="Bineesh"/>
    <x v="2"/>
    <s v="CK"/>
    <n v="1"/>
    <s v="Has gone on maternity leave since July 2017"/>
    <d v="2018-04-30T00:00:00"/>
    <d v="2017-07-01T00:00:00"/>
    <n v="0"/>
    <s v="deepa.kengond@nokia.com"/>
    <s v="Global CAM"/>
    <s v="In Headcount Internals"/>
  </r>
  <r>
    <x v="8"/>
    <s v="ZZ0001473"/>
    <n v="69055171"/>
    <s v="sgs"/>
    <s v="Swathi"/>
    <s v="G S"/>
    <s v="G S Swathi"/>
    <x v="4"/>
    <x v="0"/>
    <x v="3"/>
    <s v="New"/>
    <s v="Bineesh"/>
    <x v="4"/>
    <s v="CK"/>
    <n v="1"/>
    <m/>
    <d v="2000-01-01T00:00:00"/>
    <d v="3000-01-01T00:00:00"/>
    <n v="1"/>
    <s v="swathi.g_s@nokia.com"/>
    <s v="Global CAM"/>
    <s v="In Headcount Internals"/>
  </r>
  <r>
    <x v="1"/>
    <s v="PA0012784"/>
    <n v="69048899"/>
    <s v="pratip"/>
    <s v="Pratip"/>
    <s v="KAR"/>
    <s v="KAR Pratip"/>
    <x v="4"/>
    <x v="0"/>
    <x v="1"/>
    <s v="NA"/>
    <s v="Krishnakumar"/>
    <x v="1"/>
    <s v="Krishnakumar"/>
    <n v="1"/>
    <m/>
    <d v="2000-01-01T00:00:00"/>
    <d v="3000-01-01T00:00:00"/>
    <n v="1"/>
    <s v="pratip.kar@nokia.com"/>
    <s v="System Engineering"/>
    <s v="In Headcount Internals"/>
  </r>
  <r>
    <x v="2"/>
    <s v="FG0500067"/>
    <n v="69038576"/>
    <s v="kak"/>
    <s v="Karthik Murali"/>
    <s v="Kanniappan"/>
    <s v="K. Karthikmurali"/>
    <x v="0"/>
    <x v="0"/>
    <x v="2"/>
    <s v="New"/>
    <s v="Bart"/>
    <x v="12"/>
    <s v="CK"/>
    <n v="1"/>
    <s v="Will be counted in Jan 2017 (CADIS) as a new joinee"/>
    <d v="2000-01-01T00:00:00"/>
    <d v="2017-12-31T00:00:00"/>
    <n v="0"/>
    <s v="karthikmurali.k@nokia.com"/>
    <s v="NA"/>
    <m/>
  </r>
  <r>
    <x v="2"/>
    <s v="FG0500067"/>
    <n v="69038576"/>
    <s v="kak"/>
    <s v="Karthik Murali"/>
    <s v="Kanniappan"/>
    <s v="K. Karthikmurali"/>
    <x v="0"/>
    <x v="0"/>
    <x v="2"/>
    <s v="New"/>
    <s v="Bart"/>
    <x v="12"/>
    <s v="CK"/>
    <n v="0.25"/>
    <m/>
    <d v="2018-01-01T00:00:00"/>
    <d v="3000-01-01T00:00:00"/>
    <n v="0.25"/>
    <s v="karthikmurali.k@nokia.com"/>
    <s v="NA"/>
    <m/>
  </r>
  <r>
    <x v="2"/>
    <s v="FG0500067"/>
    <n v="69038576"/>
    <s v="kak"/>
    <s v="Karthik Murali"/>
    <s v="Kanniappan"/>
    <s v="K. Karthikmurali"/>
    <x v="0"/>
    <x v="0"/>
    <x v="2"/>
    <s v="New"/>
    <s v="Bart"/>
    <x v="5"/>
    <s v="CK"/>
    <n v="0.75"/>
    <m/>
    <d v="2018-01-01T00:00:00"/>
    <d v="3000-01-01T00:00:00"/>
    <n v="0.75"/>
    <s v="karthikmurali.k@nokia.com"/>
    <s v="NA"/>
    <m/>
  </r>
  <r>
    <x v="9"/>
    <s v="ZZ0122438"/>
    <n v="69101231"/>
    <s v="vsamanth"/>
    <s v="Venkata Gopala Krishnam Raju"/>
    <s v="Samanthapudi"/>
    <s v="SAMANTHAPADI Venkata Gopala Krishnam"/>
    <x v="0"/>
    <x v="0"/>
    <x v="0"/>
    <s v="NA"/>
    <s v="CK"/>
    <x v="0"/>
    <s v="CK"/>
    <n v="1"/>
    <m/>
    <d v="2000-01-01T00:00:00"/>
    <d v="3000-01-01T00:00:00"/>
    <n v="1"/>
    <s v="raju.svgk@nokia.com"/>
    <s v="Global CAM"/>
    <s v="In Headcount Internals"/>
  </r>
  <r>
    <x v="15"/>
    <s v="CA0112984"/>
    <n v="69058944"/>
    <s v="dbt"/>
    <s v="Deepu"/>
    <s v="BT"/>
    <s v="Deepu B.T"/>
    <x v="4"/>
    <x v="0"/>
    <x v="6"/>
    <s v="Plug"/>
    <s v="Bineesh"/>
    <x v="4"/>
    <s v="CK"/>
    <n v="1"/>
    <m/>
    <d v="2000-01-01T00:00:00"/>
    <d v="3000-01-01T00:00:00"/>
    <n v="1"/>
    <s v="deepu.bt@nokia.com"/>
    <s v="Global CAM"/>
    <s v="In Headcount Internals"/>
  </r>
  <r>
    <x v="16"/>
    <s v="FG0500052"/>
    <n v="69038575"/>
    <s v="gchalise"/>
    <s v="Gopinath"/>
    <s v="C G"/>
    <s v="CHALISEEMALA G Gopinath"/>
    <x v="4"/>
    <x v="0"/>
    <x v="6"/>
    <s v="NA"/>
    <s v="CK"/>
    <x v="13"/>
    <s v="CK"/>
    <n v="1"/>
    <m/>
    <d v="2000-01-01T00:00:00"/>
    <d v="3000-01-01T00:00:00"/>
    <n v="1"/>
    <s v="gopinath.chaliseemala_g@nokia.com"/>
    <s v="Product Validation"/>
    <s v="In Headcount Internals"/>
  </r>
  <r>
    <x v="1"/>
    <s v="HZ0193306"/>
    <n v="69059668"/>
    <s v="jjamaalu"/>
    <s v="Jeilaanni"/>
    <s v="Jamaludeen"/>
    <s v="JAMALUDEEN Jeilaanni"/>
    <x v="0"/>
    <x v="0"/>
    <x v="1"/>
    <s v="NA"/>
    <s v="Krishnakumar"/>
    <x v="1"/>
    <s v="CK"/>
    <n v="0.4"/>
    <m/>
    <d v="2000-01-01T00:00:00"/>
    <d v="3000-01-01T00:00:00"/>
    <n v="0.4"/>
    <s v="jeilaanni.jamaludeen@nokia.com"/>
    <s v="System Engineering"/>
    <s v="In Headcount Internals"/>
  </r>
  <r>
    <x v="1"/>
    <s v="HZ0193306"/>
    <n v="69059668"/>
    <s v="jjamaalu"/>
    <s v="Jeilaanni"/>
    <s v="Jamaludeen"/>
    <s v="JAMALUDEEN Jeilaanni"/>
    <x v="0"/>
    <x v="0"/>
    <x v="1"/>
    <s v="NA"/>
    <s v="Krishnakumar"/>
    <x v="2"/>
    <s v="CK"/>
    <n v="0.6"/>
    <m/>
    <d v="2000-01-01T00:00:00"/>
    <d v="3000-01-01T00:00:00"/>
    <n v="0.6"/>
    <s v="jeilaanni.jamaludeen@nokia.com"/>
    <s v="System Engineering"/>
    <s v="In Headcount Internals"/>
  </r>
  <r>
    <x v="7"/>
    <s v="ZZ0002604"/>
    <n v="69055325"/>
    <s v="jakoshy"/>
    <s v="Jacob"/>
    <s v="Koshy"/>
    <s v="KOSHY Jacob"/>
    <x v="4"/>
    <x v="0"/>
    <x v="3"/>
    <s v="New"/>
    <s v="Bineesh"/>
    <x v="6"/>
    <s v="CK"/>
    <n v="1"/>
    <m/>
    <d v="2000-01-01T00:00:00"/>
    <d v="3000-01-01T00:00:00"/>
    <n v="1"/>
    <s v="jacob.koshy@nokia.com"/>
    <s v="Global CAM"/>
    <s v="In Headcount Internals"/>
  </r>
  <r>
    <x v="17"/>
    <s v="HZ0194106"/>
    <n v="69040708"/>
    <s v="naragann"/>
    <s v="NARAGANI"/>
    <s v="NAGARAJU"/>
    <s v="NAGARAJU Naragani"/>
    <x v="0"/>
    <x v="0"/>
    <x v="5"/>
    <s v="NA"/>
    <s v="SVGK"/>
    <x v="0"/>
    <s v="CK"/>
    <n v="1"/>
    <m/>
    <d v="2000-01-01T00:00:00"/>
    <d v="3000-01-01T00:00:00"/>
    <n v="1"/>
    <s v="naragani.nagaraju@nokia.com"/>
    <s v="Global CAM"/>
    <s v="In Headcount Internals"/>
  </r>
  <r>
    <x v="18"/>
    <s v="ZZ0010521"/>
    <n v="69056256"/>
    <s v="srama006"/>
    <s v="Selvaraj"/>
    <s v="Ramasamy"/>
    <s v="RAMASAMY Selvaraj"/>
    <x v="4"/>
    <x v="0"/>
    <x v="6"/>
    <s v="New"/>
    <s v="Bineesh"/>
    <x v="4"/>
    <s v="CK"/>
    <n v="1"/>
    <m/>
    <d v="2000-01-01T00:00:00"/>
    <d v="3000-01-01T00:00:00"/>
    <n v="1"/>
    <s v="selvaraj.ramasamy@nokia.com"/>
    <s v="Global CAM"/>
    <s v="In Headcount Internals"/>
  </r>
  <r>
    <x v="19"/>
    <s v="ZZ0010814"/>
    <n v="69056319"/>
    <s v="joydeepp"/>
    <s v="Joydeep"/>
    <s v="Paul"/>
    <s v="PAUL Joydeep"/>
    <x v="4"/>
    <x v="0"/>
    <x v="6"/>
    <s v="New"/>
    <s v="Bineesh"/>
    <x v="6"/>
    <s v="CK"/>
    <n v="1"/>
    <s v="Moved to NAC test team in Sep 2017"/>
    <d v="2000-01-01T00:00:00"/>
    <d v="3000-01-01T00:00:00"/>
    <n v="1"/>
    <s v="joydeep.paul@nokia.com"/>
    <s v="Global CAM"/>
    <s v="In Headcount Internals"/>
  </r>
  <r>
    <x v="20"/>
    <s v="ZZ0010686"/>
    <n v="69056296"/>
    <s v="rachilum"/>
    <s v="Rakesh"/>
    <s v="Chilumuru"/>
    <s v="CHILIMURU Rakesh"/>
    <x v="4"/>
    <x v="0"/>
    <x v="6"/>
    <s v="New"/>
    <s v="Bineesh"/>
    <x v="12"/>
    <s v="CK"/>
    <n v="1"/>
    <s v="Moved to PCC Test with allocation of 1"/>
    <d v="2000-01-01T00:00:00"/>
    <d v="3000-01-01T00:00:00"/>
    <n v="1"/>
    <s v="rakesh.chilumuru@nokia.com"/>
    <s v="Global CAM"/>
    <s v="In Headcount Internals"/>
  </r>
  <r>
    <x v="21"/>
    <s v="ZZ0010838"/>
    <n v="69056329"/>
    <s v="schan006"/>
    <s v="Suresh"/>
    <s v="Chandrasekar"/>
    <s v="CHANDRASEKAR Suresh"/>
    <x v="4"/>
    <x v="0"/>
    <x v="3"/>
    <s v="New"/>
    <s v="Bineesh"/>
    <x v="12"/>
    <s v="CK"/>
    <n v="0.5"/>
    <m/>
    <d v="2000-01-01T00:00:00"/>
    <d v="3000-01-01T00:00:00"/>
    <n v="0.5"/>
    <s v="suresh.chandrasekar@nokia.com"/>
    <s v="Global CAM"/>
    <s v="In Headcount Internals"/>
  </r>
  <r>
    <x v="12"/>
    <s v="ZZ0010838"/>
    <n v="69056329"/>
    <s v="schan006"/>
    <s v="Suresh"/>
    <s v="Chandrasekar"/>
    <s v="CHANDRASEKAR Suresh"/>
    <x v="4"/>
    <x v="0"/>
    <x v="3"/>
    <s v="New"/>
    <s v="Bineesh"/>
    <x v="6"/>
    <s v="CK"/>
    <n v="0.5"/>
    <m/>
    <d v="2000-01-01T00:00:00"/>
    <d v="3000-01-01T00:00:00"/>
    <n v="0.5"/>
    <s v="suresh.chandrasekar@nokia.com"/>
    <s v="Global CAM"/>
    <s v="In Headcount Internals"/>
  </r>
  <r>
    <x v="9"/>
    <s v="PA0001225"/>
    <n v="69045005"/>
    <s v="cs97"/>
    <s v="Santhosh"/>
    <s v="C K"/>
    <s v="CK Santhosh"/>
    <x v="0"/>
    <x v="0"/>
    <x v="0"/>
    <s v="NA"/>
    <s v="KK"/>
    <x v="0"/>
    <s v="CK"/>
    <n v="1"/>
    <m/>
    <d v="2000-01-01T00:00:00"/>
    <d v="3000-01-01T00:00:00"/>
    <n v="1"/>
    <s v="santhosh.ck@nokia.com"/>
    <s v="Global CAM"/>
    <s v="In Headcount Internals"/>
  </r>
  <r>
    <x v="12"/>
    <s v="PA0018659"/>
    <n v="69050751"/>
    <s v="jagadish"/>
    <s v="Jagadish"/>
    <s v="N"/>
    <s v="N Jagadish"/>
    <x v="4"/>
    <x v="0"/>
    <x v="3"/>
    <s v="New"/>
    <s v="CK"/>
    <x v="6"/>
    <s v="CK"/>
    <n v="1"/>
    <s v="IA"/>
    <d v="2000-01-01T00:00:00"/>
    <d v="3000-01-01T00:00:00"/>
    <n v="1"/>
    <s v="jagadish.n@nokia.com"/>
    <s v="Global CAM"/>
    <s v="In Headcount Internals"/>
  </r>
  <r>
    <x v="12"/>
    <s v="ZZ0132468"/>
    <n v="69110192"/>
    <s v="crout"/>
    <s v="Chandan Kumar"/>
    <s v="Rout"/>
    <s v="ROUT Chandan Kumar"/>
    <x v="4"/>
    <x v="0"/>
    <x v="3"/>
    <s v="New"/>
    <s v="CK"/>
    <x v="6"/>
    <s v="CK"/>
    <n v="1"/>
    <m/>
    <d v="2000-01-01T00:00:00"/>
    <d v="3000-01-01T00:00:00"/>
    <n v="1"/>
    <s v="chandan_kumar.rout@nokia.com"/>
    <s v="Global CAM"/>
    <s v="In Headcount Internals"/>
  </r>
  <r>
    <x v="22"/>
    <s v="ZZ0133750"/>
    <n v="69110975"/>
    <s v="rkumari"/>
    <s v="Rakhee"/>
    <s v="Kumari"/>
    <s v="KUMARI Rakhee"/>
    <x v="4"/>
    <x v="0"/>
    <x v="3"/>
    <s v="New"/>
    <s v="CK"/>
    <x v="6"/>
    <s v="CK"/>
    <n v="1"/>
    <m/>
    <d v="2000-01-01T00:00:00"/>
    <d v="3000-01-01T00:00:00"/>
    <n v="1"/>
    <s v="rakhee.kumari@nokia.com"/>
    <s v="Global CAM"/>
    <s v="In Headcount Internals"/>
  </r>
  <r>
    <x v="23"/>
    <s v="ZZ0011482"/>
    <n v="69056504"/>
    <s v="vineethn"/>
    <s v="Vineeth V"/>
    <s v="Nair"/>
    <s v="NAIR Vineet"/>
    <x v="4"/>
    <x v="0"/>
    <x v="3"/>
    <s v="New"/>
    <s v="Bineesh"/>
    <x v="6"/>
    <s v="CK"/>
    <n v="1"/>
    <m/>
    <d v="2000-01-01T00:00:00"/>
    <d v="2018-02-16T00:00:00"/>
    <n v="0"/>
    <s v="vineeth_v.nair@nokia.com"/>
    <s v="Global CAM"/>
    <s v="In Headcount Internals"/>
  </r>
  <r>
    <x v="7"/>
    <m/>
    <m/>
    <m/>
    <s v="Sathya"/>
    <s v="Tej"/>
    <s v="TEJ Sathya"/>
    <x v="4"/>
    <x v="0"/>
    <x v="3"/>
    <s v="New"/>
    <s v="Bineesh"/>
    <x v="6"/>
    <s v="CK"/>
    <n v="1"/>
    <m/>
    <d v="2018-01-22T00:00:00"/>
    <d v="3000-01-01T00:00:00"/>
    <n v="1"/>
    <m/>
    <s v="Global CAM"/>
    <s v="In Headcount Internals"/>
  </r>
  <r>
    <x v="22"/>
    <s v="ZZ0137082"/>
    <n v="69112662"/>
    <s v="nikitab"/>
    <s v="Nikita"/>
    <s v="Bhatia"/>
    <s v="BHATIA Nikita"/>
    <x v="4"/>
    <x v="0"/>
    <x v="3"/>
    <s v="New"/>
    <s v="Bineesh"/>
    <x v="6"/>
    <s v="CK"/>
    <n v="1"/>
    <m/>
    <d v="2000-01-01T00:00:00"/>
    <d v="3000-01-01T00:00:00"/>
    <n v="1"/>
    <s v="nikita.1.bhatia@nokia.com"/>
    <s v="Global CAM"/>
    <s v="In Headcount Internals"/>
  </r>
  <r>
    <x v="7"/>
    <s v="ZZ0137081"/>
    <n v="69112660"/>
    <s v="gnagraj"/>
    <s v="Girish Kumar"/>
    <s v="Nagraj"/>
    <s v="NAGARAJ Girish Kumar"/>
    <x v="4"/>
    <x v="0"/>
    <x v="3"/>
    <s v="New"/>
    <s v="Bineesh"/>
    <x v="6"/>
    <s v="CK"/>
    <n v="1"/>
    <m/>
    <d v="2000-01-01T00:00:00"/>
    <d v="3000-01-01T00:00:00"/>
    <n v="1"/>
    <s v="girish_kumar.nagraj@nokia.com"/>
    <s v="Global CAM"/>
    <s v="In Headcount Internals"/>
  </r>
  <r>
    <x v="3"/>
    <s v="ZZ0134025"/>
    <n v="69111116"/>
    <s v="pbalakri"/>
    <s v="Pavithra"/>
    <s v="Balakrishnan"/>
    <s v="BALAKRISHNAN Pavithra"/>
    <x v="0"/>
    <x v="0"/>
    <x v="3"/>
    <s v="New"/>
    <s v="Kudallur"/>
    <x v="4"/>
    <s v="CK"/>
    <n v="1"/>
    <m/>
    <d v="2000-01-01T00:00:00"/>
    <d v="3000-01-01T00:00:00"/>
    <n v="1"/>
    <s v="pavithra.balakrishnan@nokia.com"/>
    <s v="Global CAM"/>
    <s v="In Headcount Internals"/>
  </r>
  <r>
    <x v="24"/>
    <s v="ZZ0136614"/>
    <n v="69112315"/>
    <s v="aisankar"/>
    <s v="Aishwayra"/>
    <s v="Sankar"/>
    <s v="SANKAR Aishwarya"/>
    <x v="0"/>
    <x v="0"/>
    <x v="6"/>
    <s v="Plug"/>
    <s v="Kudallur"/>
    <x v="2"/>
    <s v="CK"/>
    <n v="1"/>
    <m/>
    <d v="2000-01-01T00:00:00"/>
    <d v="2017-12-31T00:00:00"/>
    <n v="0"/>
    <s v="aishwarya.sankar@nokia.com"/>
    <s v="Global CAM"/>
    <s v="In Headcount Internals"/>
  </r>
  <r>
    <x v="15"/>
    <s v="ZZ0136614"/>
    <n v="69112315"/>
    <s v="aisankar"/>
    <s v="Aishwayra"/>
    <s v="Sankar"/>
    <s v="SANKAR Aishwarya"/>
    <x v="0"/>
    <x v="0"/>
    <x v="6"/>
    <s v="Plug"/>
    <s v="Kudallur"/>
    <x v="4"/>
    <s v="CK"/>
    <n v="1"/>
    <m/>
    <d v="2018-01-01T00:00:00"/>
    <d v="3000-01-01T00:00:00"/>
    <n v="1"/>
    <s v="aishwarya.sankar@nokia.com"/>
    <s v="Global CAM"/>
    <s v="In Headcount Internals"/>
  </r>
  <r>
    <x v="25"/>
    <s v="ZZ0134024"/>
    <n v="69111121"/>
    <s v="sjitta"/>
    <s v="Sai Meghana"/>
    <s v="Jitta"/>
    <s v="JITTA Sai Meghana"/>
    <x v="0"/>
    <x v="0"/>
    <x v="3"/>
    <s v="New"/>
    <s v="Ashish"/>
    <x v="6"/>
    <s v="CK"/>
    <n v="1"/>
    <m/>
    <d v="2000-01-01T00:00:00"/>
    <d v="3000-01-01T00:00:00"/>
    <n v="1"/>
    <s v="sai_meghana.jitta@nokia.com"/>
    <s v="Global CAM"/>
    <s v="In Headcount Internals"/>
  </r>
  <r>
    <x v="22"/>
    <s v="CA0040880"/>
    <n v="69112321"/>
    <s v="uns"/>
    <s v="Usha"/>
    <s v="N S"/>
    <s v="N S Usha"/>
    <x v="0"/>
    <x v="0"/>
    <x v="3"/>
    <s v="New"/>
    <s v="Ashish"/>
    <x v="5"/>
    <s v="CK"/>
    <n v="1"/>
    <m/>
    <d v="2000-01-01T00:00:00"/>
    <d v="3000-01-01T00:00:00"/>
    <n v="1"/>
    <s v="usha.n_s@nokia.com"/>
    <s v="Global CAM"/>
    <s v="In Headcount Internals"/>
  </r>
  <r>
    <x v="11"/>
    <s v="CA0206848"/>
    <n v="69099644"/>
    <s v="vsugumar"/>
    <s v="Varshaa"/>
    <s v="Sugumaran"/>
    <s v="SUGUMARAN Varshaa"/>
    <x v="0"/>
    <x v="0"/>
    <x v="5"/>
    <s v="NA"/>
    <s v="SVGK"/>
    <x v="0"/>
    <s v="CK"/>
    <n v="1"/>
    <m/>
    <d v="2000-01-01T00:00:00"/>
    <d v="3000-01-01T00:00:00"/>
    <n v="1"/>
    <s v="varshaa.sugumaran@nokia.com"/>
    <s v="Global CAM"/>
    <s v="In Headcount Internals"/>
  </r>
  <r>
    <x v="25"/>
    <s v="ZZ0134018"/>
    <n v="69111122"/>
    <s v="svenkate"/>
    <s v="Sangeetha TV"/>
    <s v="Venkatesan"/>
    <s v="VENKATESAN Sangeetha Tv"/>
    <x v="0"/>
    <x v="0"/>
    <x v="3"/>
    <s v="New"/>
    <s v="Ashish"/>
    <x v="6"/>
    <s v="CK"/>
    <n v="1"/>
    <m/>
    <d v="2000-01-01T00:00:00"/>
    <d v="3000-01-01T00:00:00"/>
    <n v="1"/>
    <s v="sangeetha_tv.venkatesan@nokia.com"/>
    <s v="Global CAM"/>
    <s v="In Headcount Internals"/>
  </r>
  <r>
    <x v="22"/>
    <s v="ZZ0011600"/>
    <n v="69056538"/>
    <s v="rragh003"/>
    <s v="Ranjitha Barike"/>
    <s v="Raghava"/>
    <s v="RAGHAVA Ranjitha Barike"/>
    <x v="4"/>
    <x v="0"/>
    <x v="3"/>
    <s v="New"/>
    <s v="Bineesh"/>
    <x v="6"/>
    <s v="CK"/>
    <n v="1"/>
    <m/>
    <d v="2000-01-01T00:00:00"/>
    <d v="3000-01-01T00:00:00"/>
    <n v="1"/>
    <s v="ranjitha_barike.raghava@nokia.com"/>
    <s v="Global CAM"/>
    <s v="In Headcount Internals"/>
  </r>
  <r>
    <x v="26"/>
    <s v="ZZ0000018"/>
    <n v="69061992"/>
    <s v="ssing058"/>
    <s v="SHYAM"/>
    <s v="SINGH"/>
    <s v="SINGH1 Shyam"/>
    <x v="0"/>
    <x v="0"/>
    <x v="6"/>
    <s v="New"/>
    <s v="CK"/>
    <x v="4"/>
    <s v="CK"/>
    <n v="1"/>
    <m/>
    <d v="2000-01-01T00:00:00"/>
    <d v="3000-01-01T00:00:00"/>
    <n v="1"/>
    <s v="shyam.1.singh@nokia.com"/>
    <s v="Product Validation"/>
    <s v="In Headcount Internals"/>
  </r>
  <r>
    <x v="27"/>
    <s v="ZZ0007931"/>
    <n v="69055749"/>
    <s v="kdweetir"/>
    <s v="Keerthimayee"/>
    <s v="Dweetiraja"/>
    <s v="Dweetiraja Keerthimayee"/>
    <x v="4"/>
    <x v="0"/>
    <x v="6"/>
    <s v="Core"/>
    <s v="Bineesh"/>
    <x v="2"/>
    <s v="CK"/>
    <n v="1"/>
    <m/>
    <d v="2000-01-01T00:00:00"/>
    <d v="3000-01-01T00:00:00"/>
    <n v="1"/>
    <s v="keerthimayee.dweetiraja@nokia.com"/>
    <s v="Global CAM"/>
    <s v="In Headcount Internals"/>
  </r>
  <r>
    <x v="25"/>
    <s v="HR0005585"/>
    <n v="69040268"/>
    <s v="mnagaiah"/>
    <s v="Manohar"/>
    <s v="N V"/>
    <s v="NAGAIAH Manohar"/>
    <x v="4"/>
    <x v="0"/>
    <x v="3"/>
    <s v="New"/>
    <s v="Bineesh"/>
    <x v="6"/>
    <s v="CK"/>
    <n v="1"/>
    <m/>
    <d v="2000-01-01T00:00:00"/>
    <d v="3000-01-01T00:00:00"/>
    <n v="1"/>
    <s v="manohar.nagaiah@nokia.com"/>
    <s v="Global CAM"/>
    <s v="In Headcount Internals"/>
  </r>
  <r>
    <x v="22"/>
    <s v="ZZ0003558"/>
    <n v="69055500"/>
    <s v="vishalh"/>
    <s v="Vishal"/>
    <s v="Hegde"/>
    <s v="HEGDE Vishal"/>
    <x v="4"/>
    <x v="0"/>
    <x v="3"/>
    <s v="New"/>
    <s v="Bineesh"/>
    <x v="6"/>
    <s v="CK"/>
    <n v="1"/>
    <m/>
    <d v="2000-01-01T00:00:00"/>
    <d v="3000-01-01T00:00:00"/>
    <n v="1"/>
    <s v="vishal.hegde@nokia.com"/>
    <s v="Global CAM"/>
    <s v="In Headcount Internals"/>
  </r>
  <r>
    <x v="15"/>
    <s v="ZZ0003704"/>
    <n v="69055530"/>
    <s v="shtr"/>
    <s v="Shrikanth"/>
    <s v="T R"/>
    <s v="T R Shrikanth"/>
    <x v="4"/>
    <x v="0"/>
    <x v="6"/>
    <s v="Plug"/>
    <s v="Bineesh"/>
    <x v="4"/>
    <s v="CK"/>
    <n v="1"/>
    <m/>
    <d v="2000-01-01T00:00:00"/>
    <d v="3000-01-01T00:00:00"/>
    <n v="1"/>
    <s v="shrikanth.t_r@nokia.com"/>
    <s v="Global CAM"/>
    <s v="In Headcount Internals"/>
  </r>
  <r>
    <x v="18"/>
    <s v="ZZ0102855"/>
    <n v="69085523"/>
    <s v="vikashks"/>
    <s v="Vikash Kumar"/>
    <s v="Srivastava"/>
    <s v="SRIVASTAVA Vikash Kumar"/>
    <x v="4"/>
    <x v="0"/>
    <x v="6"/>
    <s v="New"/>
    <s v="Bineesh"/>
    <x v="4"/>
    <s v="CK"/>
    <n v="1"/>
    <s v="New joinee"/>
    <d v="2000-01-01T00:00:00"/>
    <d v="3000-01-01T00:00:00"/>
    <n v="1"/>
    <s v="vikash_kumar.srivastava@nokia.com"/>
    <s v="Global CAM"/>
    <s v="In Headcount Internals"/>
  </r>
  <r>
    <x v="28"/>
    <s v="ZZ0003811"/>
    <n v="69055552"/>
    <s v="mbadikil"/>
    <s v="Madhusoodana"/>
    <s v="Badikillaya M"/>
    <s v="BADIKILLAYA Madhusoodhana"/>
    <x v="4"/>
    <x v="0"/>
    <x v="6"/>
    <s v="New"/>
    <s v="Bineesh"/>
    <x v="4"/>
    <s v="CK"/>
    <n v="1"/>
    <m/>
    <d v="2000-01-01T00:00:00"/>
    <d v="3000-01-01T00:00:00"/>
    <n v="1"/>
    <s v="madhusoodana.badikillaya@nokia.com"/>
    <s v="Global CAM"/>
    <s v="In Headcount Internals"/>
  </r>
  <r>
    <x v="29"/>
    <s v="ZZ0003790"/>
    <n v="69062085"/>
    <s v="jmath003"/>
    <s v="Jacob"/>
    <s v="Mathews"/>
    <s v="MATHEWS1 Jacob"/>
    <x v="4"/>
    <x v="0"/>
    <x v="3"/>
    <s v="Core"/>
    <s v="Bineesh"/>
    <x v="13"/>
    <s v="CK"/>
    <n v="1"/>
    <m/>
    <d v="2000-01-01T00:00:00"/>
    <d v="3000-01-01T00:00:00"/>
    <n v="1"/>
    <s v="jacob.1.mathews@nokia.com"/>
    <s v="Global CAM"/>
    <s v="In Headcount Internals"/>
  </r>
  <r>
    <x v="8"/>
    <s v="CA0197392"/>
    <m/>
    <s v="vgotagi"/>
    <m/>
    <m/>
    <s v="GOTAGI Venugopal"/>
    <x v="4"/>
    <x v="1"/>
    <x v="3"/>
    <s v="New"/>
    <s v="Bineesh"/>
    <x v="4"/>
    <s v="CK"/>
    <n v="1"/>
    <s v="T&amp;M Bangalore"/>
    <d v="2000-01-01T00:00:00"/>
    <d v="3000-01-01T00:00:00"/>
    <n v="1"/>
    <s v="venugopal.gotagi.ext@nokia.com"/>
    <m/>
    <s v="In Headcount Externals"/>
  </r>
  <r>
    <x v="30"/>
    <s v="LL0011715"/>
    <n v="69043551"/>
    <s v="cduke"/>
    <s v="Carolyn"/>
    <s v="Duke"/>
    <s v="DUKE Carolyn"/>
    <x v="3"/>
    <x v="0"/>
    <x v="3"/>
    <s v="New"/>
    <s v="Bineesh"/>
    <x v="4"/>
    <s v="RobDV"/>
    <n v="1"/>
    <m/>
    <d v="2000-01-01T00:00:00"/>
    <d v="3000-01-01T00:00:00"/>
    <n v="1"/>
    <s v="carolyn.duke@nokia.com"/>
    <s v="Global CAM"/>
    <s v="In Headcount Internals"/>
  </r>
  <r>
    <x v="30"/>
    <s v="AG0634212"/>
    <n v="69030585"/>
    <s v="fguilbea"/>
    <s v="Frederic"/>
    <s v="Guilbeault"/>
    <s v="GUILBEAULT Frederic"/>
    <x v="3"/>
    <x v="0"/>
    <x v="3"/>
    <s v="New"/>
    <s v="CK"/>
    <x v="4"/>
    <s v="RobDV"/>
    <n v="1"/>
    <s v="SD-OLT for ANV"/>
    <d v="2000-01-01T00:00:00"/>
    <d v="3000-01-01T00:00:00"/>
    <n v="1"/>
    <s v="frederic.guilbeault@nokia.com"/>
    <s v="Global CAM"/>
    <s v="In Headcount Internals"/>
  </r>
  <r>
    <x v="31"/>
    <s v="LL0005900"/>
    <n v="69043114"/>
    <s v="zpwang"/>
    <s v="Zhengping"/>
    <s v="Wang"/>
    <s v="WANG Zhengping"/>
    <x v="3"/>
    <x v="0"/>
    <x v="3"/>
    <s v="Core"/>
    <s v="CK"/>
    <x v="7"/>
    <s v="RobDV"/>
    <n v="1"/>
    <m/>
    <d v="2000-01-01T00:00:00"/>
    <d v="2018-03-05T00:00:00"/>
    <n v="0"/>
    <s v="zhengping.wang@nokia.com"/>
    <s v="Global CAM"/>
    <s v="In Headcount Internals"/>
  </r>
  <r>
    <x v="10"/>
    <s v="LL0005900"/>
    <n v="69043114"/>
    <s v="zpwang"/>
    <s v="Zhengping"/>
    <s v="Wang"/>
    <s v="WANG Zhengping"/>
    <x v="3"/>
    <x v="0"/>
    <x v="3"/>
    <s v="Core"/>
    <s v="CK"/>
    <x v="10"/>
    <s v="RobDV"/>
    <n v="1"/>
    <m/>
    <d v="2018-03-05T00:00:00"/>
    <d v="3000-01-01T00:00:00"/>
    <n v="1"/>
    <s v="zhengping.wang@nokia.com"/>
    <s v="Global CAM"/>
    <s v="In Headcount Internals"/>
  </r>
  <r>
    <x v="18"/>
    <s v="LL0007529"/>
    <n v="69043233"/>
    <s v="floris"/>
    <s v="Florea"/>
    <s v="Suciu"/>
    <s v="SUCIU Floarea"/>
    <x v="3"/>
    <x v="0"/>
    <x v="6"/>
    <s v="New"/>
    <s v="CK"/>
    <x v="4"/>
    <s v="RobDV"/>
    <n v="1"/>
    <m/>
    <d v="2000-01-01T00:00:00"/>
    <d v="3000-01-01T00:00:00"/>
    <n v="1"/>
    <s v="Flori.Suciu@nokia.com"/>
    <s v="Product Validation"/>
    <s v="In Headcount Internals"/>
  </r>
  <r>
    <x v="2"/>
    <s v="HZ0152506"/>
    <n v="69040658"/>
    <s v="sdhayala"/>
    <s v="Suresh"/>
    <s v="DHAYALAN"/>
    <s v="DHAYALAN Suresh"/>
    <x v="0"/>
    <x v="0"/>
    <x v="2"/>
    <s v="Core"/>
    <s v="Peter M"/>
    <x v="3"/>
    <s v="CK"/>
    <n v="1"/>
    <m/>
    <d v="2000-01-01T00:00:00"/>
    <d v="3000-01-01T00:00:00"/>
    <n v="1"/>
    <s v="suresh.dhayalan@nokia.com"/>
    <s v="5520/29 Core PDL"/>
    <s v="In Headcount Internals"/>
  </r>
  <r>
    <x v="24"/>
    <s v="HZ0156006"/>
    <n v="69059657"/>
    <s v="mahendrd"/>
    <s v="Mahendran"/>
    <s v="DEVARAJ"/>
    <s v="DEVARAJ Mahendran N"/>
    <x v="0"/>
    <x v="0"/>
    <x v="6"/>
    <s v="Plug"/>
    <s v="CK"/>
    <x v="2"/>
    <s v="CK"/>
    <n v="1"/>
    <s v="IA"/>
    <d v="2000-01-01T00:00:00"/>
    <d v="3000-01-01T00:00:00"/>
    <n v="1"/>
    <s v="mahendran.n.devaraj@nokia.com"/>
    <s v="Product Validation"/>
    <s v="In Headcount Internals"/>
  </r>
  <r>
    <x v="24"/>
    <s v="HZ0163006"/>
    <n v="69040667"/>
    <s v="sowmyag"/>
    <s v="Sowmya"/>
    <s v="Govindarajan"/>
    <s v="GOVINDARAJAN Sowmya"/>
    <x v="0"/>
    <x v="0"/>
    <x v="6"/>
    <s v="Plug"/>
    <s v="Kudallur"/>
    <x v="2"/>
    <s v="CK"/>
    <n v="1"/>
    <s v="She will go on maternity leave by mid March"/>
    <d v="2000-01-01T00:00:00"/>
    <d v="3000-01-01T00:00:00"/>
    <n v="1"/>
    <s v="sowmya.govindarajan@nokia.com "/>
    <s v="Global CAM"/>
    <s v="In Headcount Internals"/>
  </r>
  <r>
    <x v="25"/>
    <s v="HZ0170906"/>
    <n v="69040676"/>
    <s v="pregunat"/>
    <s v="Parthasarathy"/>
    <s v="Regunathan"/>
    <s v="REGUNATHAN Parthasarathy"/>
    <x v="0"/>
    <x v="0"/>
    <x v="3"/>
    <s v="New"/>
    <s v="Kudallur"/>
    <x v="6"/>
    <s v="CK"/>
    <n v="0.6"/>
    <m/>
    <d v="2000-01-01T00:00:00"/>
    <d v="2018-02-11T00:00:00"/>
    <n v="0"/>
    <s v="parthasarathy.regunathan@nokia.com"/>
    <s v="Global CAM"/>
    <s v="In Headcount Internals"/>
  </r>
  <r>
    <x v="32"/>
    <s v="HZ0170906"/>
    <n v="69040676"/>
    <s v="pregunat"/>
    <s v="Parthasarathy"/>
    <s v="Regunathan"/>
    <s v="REGUNATHAN Parthasarathy"/>
    <x v="0"/>
    <x v="0"/>
    <x v="3"/>
    <s v="New"/>
    <s v="Kudallur"/>
    <x v="5"/>
    <s v="CK"/>
    <n v="0.4"/>
    <m/>
    <d v="2000-01-01T00:00:00"/>
    <d v="2018-02-11T00:00:00"/>
    <n v="0"/>
    <s v="parthasarathy.regunathan@nokia.com"/>
    <s v="Global CAM"/>
    <s v="In Headcount Internals"/>
  </r>
  <r>
    <x v="25"/>
    <s v="HZ0170906"/>
    <n v="69040676"/>
    <s v="pregunat"/>
    <s v="Parthasarathy"/>
    <s v="Regunathan"/>
    <s v="REGUNATHAN Parthasarathy"/>
    <x v="0"/>
    <x v="0"/>
    <x v="3"/>
    <s v="New"/>
    <s v="Kudallur"/>
    <x v="5"/>
    <s v="CK"/>
    <n v="1"/>
    <m/>
    <d v="2018-02-12T00:00:00"/>
    <d v="3000-01-01T00:00:00"/>
    <n v="1"/>
    <s v="parthasarathy.regunathan@nokia.com"/>
    <s v="Global CAM"/>
    <s v="In Headcount Internals"/>
  </r>
  <r>
    <x v="14"/>
    <s v="HZ0175106"/>
    <n v="69059660"/>
    <s v="vidhyan"/>
    <s v="Vidhya"/>
    <s v="NANDAGOPALAN"/>
    <s v="NANDAGOPALAN Vidhya N"/>
    <x v="0"/>
    <x v="0"/>
    <x v="3"/>
    <s v="Plug"/>
    <s v="Ashish"/>
    <x v="2"/>
    <s v="CK"/>
    <n v="1"/>
    <m/>
    <d v="2000-01-01T00:00:00"/>
    <d v="3000-01-01T00:00:00"/>
    <n v="1"/>
    <s v="vidhya.n.nandagopalan@nokia.com"/>
    <s v="Global CAM"/>
    <s v="In Headcount Internals"/>
  </r>
  <r>
    <x v="33"/>
    <s v="HZ0187206"/>
    <n v="69059664"/>
    <s v="sranjan"/>
    <s v="SOUBHAGYA RANJAN"/>
    <s v="BARAL"/>
    <s v="RANJAN BARAL Soubhagya"/>
    <x v="0"/>
    <x v="0"/>
    <x v="6"/>
    <s v="Core"/>
    <s v="Ashish"/>
    <x v="10"/>
    <s v="CK"/>
    <n v="1"/>
    <m/>
    <d v="2000-01-01T00:00:00"/>
    <d v="3000-01-01T00:00:00"/>
    <n v="1"/>
    <s v="soubhagya.baral.ranjan@nokia.com"/>
    <s v="Global CAM"/>
    <s v="In Headcount Internals"/>
  </r>
  <r>
    <x v="20"/>
    <s v="HZ0189906"/>
    <n v="69040699"/>
    <s v="asakkara"/>
    <s v="ARUN SAKKARAVARTHI"/>
    <s v="S"/>
    <s v="SAKKARAVARTHI Arun"/>
    <x v="0"/>
    <x v="0"/>
    <x v="6"/>
    <s v="New"/>
    <s v="Ashish"/>
    <x v="12"/>
    <s v="CK"/>
    <n v="1"/>
    <m/>
    <d v="2000-01-01T00:00:00"/>
    <d v="3000-01-01T00:00:00"/>
    <n v="1"/>
    <s v="arun.sakkaravarthi@nokia.com"/>
    <s v="Global CAM"/>
    <s v="In Headcount Internals"/>
  </r>
  <r>
    <x v="19"/>
    <s v="ZZ0014299"/>
    <n v="69062323"/>
    <s v="kkris012"/>
    <s v="Karthik "/>
    <s v="Krishnasamy"/>
    <s v="KRISHNASAMY Karthik"/>
    <x v="0"/>
    <x v="0"/>
    <x v="6"/>
    <s v="New"/>
    <s v="Kudallur"/>
    <x v="6"/>
    <s v="CK"/>
    <n v="1"/>
    <s v="Moved on Aug 1, 2016 to PCC Test"/>
    <d v="2000-01-01T00:00:00"/>
    <d v="3000-01-01T00:00:00"/>
    <n v="1"/>
    <s v="karthik.krishnasamy@nokia.com"/>
    <s v="Global CAM"/>
    <s v="In Headcount Internals"/>
  </r>
  <r>
    <x v="22"/>
    <s v="ZZ0014514"/>
    <n v="69057224"/>
    <s v="sasivasu"/>
    <s v="Sabareesh"/>
    <s v="Sivasubramaniam"/>
    <s v="SIVASUBRAMANIAM Sabareesh"/>
    <x v="0"/>
    <x v="0"/>
    <x v="3"/>
    <s v="New"/>
    <s v="Kudallur"/>
    <x v="5"/>
    <s v="CK"/>
    <n v="1"/>
    <m/>
    <d v="2000-01-01T00:00:00"/>
    <d v="3000-01-01T00:00:00"/>
    <n v="1"/>
    <s v="sabareesh.sivasubramaniam@nokia.com "/>
    <s v="Global CAM"/>
    <s v="In Headcount Internals"/>
  </r>
  <r>
    <x v="24"/>
    <s v="ZZ0014611"/>
    <n v="69057252"/>
    <s v="rraje003"/>
    <s v="Ramesh "/>
    <s v="Rajendran"/>
    <s v="RAJENDRAN Ramesh"/>
    <x v="0"/>
    <x v="0"/>
    <x v="6"/>
    <s v="Plug"/>
    <s v="Kudallur"/>
    <x v="2"/>
    <s v="CK"/>
    <n v="1"/>
    <m/>
    <d v="2000-01-01T00:00:00"/>
    <d v="3000-01-01T00:00:00"/>
    <n v="1"/>
    <s v="ramesh.rajendran@nokia.com "/>
    <s v="Global CAM"/>
    <s v="In Headcount Internals"/>
  </r>
  <r>
    <x v="15"/>
    <s v="ZZ0014750"/>
    <n v="69062336"/>
    <s v="vs023"/>
    <s v="Varun"/>
    <s v="S"/>
    <s v="SACHIDANANDAN Varun"/>
    <x v="0"/>
    <x v="0"/>
    <x v="6"/>
    <s v="Plug"/>
    <s v="Kudallur"/>
    <x v="4"/>
    <s v="CK"/>
    <n v="1"/>
    <m/>
    <d v="2018-01-01T00:00:00"/>
    <d v="3000-01-01T00:00:00"/>
    <n v="1"/>
    <s v="varun.s@nokia.com"/>
    <s v="Global CAM"/>
    <s v="In Headcount Internals"/>
  </r>
  <r>
    <x v="24"/>
    <s v="ZZ0014750"/>
    <n v="69062336"/>
    <s v="vs023"/>
    <s v="Varun"/>
    <s v="S"/>
    <s v="SACHIDANANDAN Varun"/>
    <x v="0"/>
    <x v="0"/>
    <x v="6"/>
    <s v="Plug"/>
    <s v="Kudallur"/>
    <x v="2"/>
    <s v="CK"/>
    <n v="1"/>
    <m/>
    <d v="2000-01-01T00:00:00"/>
    <d v="2017-12-31T00:00:00"/>
    <n v="0"/>
    <s v="varun.s@nokia.com"/>
    <s v="Global CAM"/>
    <s v="In Headcount Internals"/>
  </r>
  <r>
    <x v="33"/>
    <s v="HZ0191506"/>
    <n v="69040703"/>
    <s v="sanghams"/>
    <s v="Sanghamitra"/>
    <s v="Sahoo"/>
    <s v="SAHOO Sanghamitra"/>
    <x v="0"/>
    <x v="0"/>
    <x v="6"/>
    <s v="Core"/>
    <s v="Kudallur"/>
    <x v="10"/>
    <s v="CK"/>
    <n v="1"/>
    <s v="Maintenance - Test"/>
    <d v="2000-01-01T00:00:00"/>
    <d v="3000-01-01T00:00:00"/>
    <n v="1"/>
    <s v="sanghamitra.sahoo@nokia.com"/>
    <s v="Global CAM"/>
    <s v="In Headcount Internals"/>
  </r>
  <r>
    <x v="15"/>
    <s v="HZ0194006"/>
    <n v="69040707"/>
    <s v="svellapa"/>
    <s v="V"/>
    <s v="SUBRAMANIAN"/>
    <s v="VELLAPANDI Subramanian"/>
    <x v="0"/>
    <x v="0"/>
    <x v="6"/>
    <s v="Plug"/>
    <s v="Ashish"/>
    <x v="4"/>
    <s v="CK"/>
    <n v="1"/>
    <m/>
    <d v="2000-01-01T00:00:00"/>
    <d v="3000-01-01T00:00:00"/>
    <n v="1"/>
    <s v="subramanian.vellapandi@nokia.com"/>
    <s v="Global CAM"/>
    <s v="In Headcount Internals"/>
  </r>
  <r>
    <x v="28"/>
    <s v="FG0002127"/>
    <n v="69038501"/>
    <s v="prasante"/>
    <s v="Prasanth"/>
    <s v="E"/>
    <s v="E Prasanth"/>
    <x v="0"/>
    <x v="0"/>
    <x v="6"/>
    <s v="New"/>
    <s v="Kudallur"/>
    <x v="4"/>
    <s v="CK"/>
    <n v="1"/>
    <s v="Moved to WebGUI test on July 20, 2016"/>
    <d v="2000-01-01T00:00:00"/>
    <d v="3000-01-01T00:00:00"/>
    <n v="1"/>
    <s v="prasanth.e@nokia.com "/>
    <s v="Global CAM"/>
    <s v="In Headcount Internals"/>
  </r>
  <r>
    <x v="22"/>
    <s v="ZZ0105906"/>
    <n v="69087616"/>
    <s v="pkuma149"/>
    <s v="Praveen"/>
    <s v="Kumar"/>
    <s v="KUMAR Praveen"/>
    <x v="0"/>
    <x v="0"/>
    <x v="3"/>
    <s v="New"/>
    <s v="Ashish"/>
    <x v="6"/>
    <s v="CK"/>
    <n v="1"/>
    <s v="New joinee, Moved on July 15, 2016 to TS/PM team"/>
    <d v="2000-01-01T00:00:00"/>
    <d v="3000-01-01T00:00:00"/>
    <n v="1"/>
    <s v="praveen.10.kumar@nokia.com"/>
    <s v="Global CAM"/>
    <s v="In Headcount Internals"/>
  </r>
  <r>
    <x v="30"/>
    <s v="ZZ0115385"/>
    <n v="69094954"/>
    <s v="prashanm"/>
    <s v="Prashanth 1"/>
    <s v="M"/>
    <s v="M Prashanth"/>
    <x v="0"/>
    <x v="0"/>
    <x v="3"/>
    <s v="New"/>
    <s v="Kudallur"/>
    <x v="4"/>
    <s v="CK"/>
    <n v="1"/>
    <s v="SD-OLT for ANV"/>
    <d v="2000-01-01T00:00:00"/>
    <d v="3000-01-01T00:00:00"/>
    <n v="1"/>
    <s v="prashanth.1.m@nokia.com"/>
    <s v="Global CAM"/>
    <s v="In Headcount Internals"/>
  </r>
  <r>
    <x v="34"/>
    <s v="FG0002260"/>
    <n v="69038535"/>
    <s v="moorthys"/>
    <s v="Moorthy"/>
    <s v="SS"/>
    <s v="SUBRAMANIAM Moorthy"/>
    <x v="0"/>
    <x v="0"/>
    <x v="6"/>
    <s v="New"/>
    <s v="Ashish"/>
    <x v="5"/>
    <s v="CK"/>
    <n v="1"/>
    <m/>
    <d v="2000-01-01T00:00:00"/>
    <d v="3000-01-01T00:00:00"/>
    <n v="1"/>
    <s v="moorthy.subramaniam@nokia.com"/>
    <s v="Global CAM"/>
    <s v="In Headcount Internals"/>
  </r>
  <r>
    <x v="30"/>
    <s v="HR0004268"/>
    <n v="69040210"/>
    <s v="gnanavek"/>
    <s v="Gnanavel"/>
    <s v="Krishnan"/>
    <s v="KRISHNAN Gnanavel"/>
    <x v="0"/>
    <x v="0"/>
    <x v="3"/>
    <s v="New"/>
    <s v="Kudallur"/>
    <x v="4"/>
    <s v="CK"/>
    <n v="1"/>
    <s v="IA"/>
    <d v="2000-01-01T00:00:00"/>
    <d v="3000-01-01T00:00:00"/>
    <n v="1"/>
    <s v="gnanavel.krishnan@nokia.com"/>
    <s v="Global CAM"/>
    <s v="In Headcount Internals"/>
  </r>
  <r>
    <x v="24"/>
    <s v="ZZ0000206"/>
    <n v="69054982"/>
    <s v="sudeshna"/>
    <s v="Sudeshna"/>
    <s v="Adhikari"/>
    <s v="ADHIKARI Sudeshna"/>
    <x v="0"/>
    <x v="0"/>
    <x v="6"/>
    <s v="Plug"/>
    <s v="Kudallur"/>
    <x v="2"/>
    <s v="CK"/>
    <n v="1"/>
    <m/>
    <d v="2000-01-01T00:00:00"/>
    <d v="3000-01-01T00:00:00"/>
    <n v="1"/>
    <s v="sudeshna.adhikari@nokia.com"/>
    <s v="Global CAM"/>
    <s v="In Headcount Internals"/>
  </r>
  <r>
    <x v="3"/>
    <s v="HR0005862"/>
    <n v="69040284"/>
    <s v="lkajuloo"/>
    <s v="Lovaraju"/>
    <s v="Kajulooti"/>
    <s v="KAJULOOTI Lovaraju"/>
    <x v="0"/>
    <x v="0"/>
    <x v="3"/>
    <s v="New"/>
    <s v="Ashish"/>
    <x v="4"/>
    <s v="CK"/>
    <n v="1"/>
    <m/>
    <d v="2000-01-01T00:00:00"/>
    <d v="3000-01-01T00:00:00"/>
    <n v="1"/>
    <s v="lovaraju.kajulooti@nokia.com"/>
    <s v="Duplicate Global CAM"/>
    <s v="In Headcount Internals"/>
  </r>
  <r>
    <x v="20"/>
    <s v="HR0007319"/>
    <n v="69040361"/>
    <s v="rafiqm"/>
    <s v="Rafiq"/>
    <s v="Mohamed"/>
    <s v="MOHAMED Rafiq"/>
    <x v="0"/>
    <x v="0"/>
    <x v="6"/>
    <s v="New"/>
    <s v="Ashish"/>
    <x v="12"/>
    <s v="CK"/>
    <n v="1"/>
    <s v="Moved froom Solution Test"/>
    <d v="2000-01-01T00:00:00"/>
    <d v="3000-01-01T00:00:00"/>
    <n v="1"/>
    <s v="rafiq.mohamed@nokia.com"/>
    <s v="Global CAM"/>
    <s v="In Headcount Internals"/>
  </r>
  <r>
    <x v="2"/>
    <s v="ZZ0005216"/>
    <n v="69055598"/>
    <s v="dkittusw"/>
    <s v="KITTUSWAMY"/>
    <s v="DANASEKARAN"/>
    <s v="KITTUSWAMY Danasekaran"/>
    <x v="4"/>
    <x v="0"/>
    <x v="2"/>
    <s v="Core"/>
    <s v="Peter M"/>
    <x v="3"/>
    <s v="CK"/>
    <n v="1"/>
    <m/>
    <d v="2000-01-01T00:00:00"/>
    <d v="3000-01-01T00:00:00"/>
    <n v="1"/>
    <s v="danasekaran.kittuswamy@nokia.com"/>
    <s v="Product Validation"/>
    <s v="In Headcount Internals"/>
  </r>
  <r>
    <x v="9"/>
    <s v="ZZ0003693"/>
    <n v="69062080"/>
    <s v="skudallu"/>
    <s v="Suresh"/>
    <s v="Bharatharajan Kudallur"/>
    <s v="Kudallur Suresh"/>
    <x v="0"/>
    <x v="0"/>
    <x v="0"/>
    <s v="NA"/>
    <s v="CK"/>
    <x v="0"/>
    <s v="CK"/>
    <n v="1"/>
    <m/>
    <d v="2000-01-01T00:00:00"/>
    <d v="3000-01-01T00:00:00"/>
    <n v="1"/>
    <s v="suresh.bharatharajan_kudallur@nokia.com"/>
    <s v="Global CAM"/>
    <s v="In Headcount Internals"/>
  </r>
  <r>
    <x v="3"/>
    <s v="ZZ0010520"/>
    <n v="69056255"/>
    <s v="thiruvis"/>
    <s v="Thiruvikraman"/>
    <s v="Subburaman"/>
    <s v="SUBBURAMAN Thiruvikraman"/>
    <x v="0"/>
    <x v="0"/>
    <x v="3"/>
    <s v="New"/>
    <s v="Kudallur"/>
    <x v="2"/>
    <s v="CK"/>
    <n v="1"/>
    <m/>
    <d v="2000-01-01T00:00:00"/>
    <d v="3000-01-01T00:00:00"/>
    <n v="1"/>
    <s v="thiruvikraman.subburaman@nokia.com "/>
    <s v="Global CAM"/>
    <s v="In Headcount Internals"/>
  </r>
  <r>
    <x v="9"/>
    <s v="ZZ0098579"/>
    <n v="69082729"/>
    <s v="akuma327"/>
    <s v="Ashish"/>
    <s v="Kumar"/>
    <s v="KUMAR1 Ashish"/>
    <x v="0"/>
    <x v="0"/>
    <x v="0"/>
    <s v="NA"/>
    <s v="CK"/>
    <x v="0"/>
    <s v="CK"/>
    <n v="1"/>
    <m/>
    <d v="2000-01-01T00:00:00"/>
    <d v="3000-01-01T00:00:00"/>
    <n v="1"/>
    <s v="ashish.4.kumar@nokia.com"/>
    <s v="Global CAM"/>
    <s v="In Headcount Internals"/>
  </r>
  <r>
    <x v="19"/>
    <s v="ZZ0098601"/>
    <n v="69082827"/>
    <s v="srama012"/>
    <s v="Satish Kumar"/>
    <s v="R"/>
    <s v="R. Satish Kumar"/>
    <x v="4"/>
    <x v="0"/>
    <x v="6"/>
    <s v="New"/>
    <s v="Bineesh"/>
    <x v="6"/>
    <s v="CK"/>
    <n v="1"/>
    <s v="Moved on Aug 1, 2016 to PCC Test"/>
    <d v="2000-01-01T00:00:00"/>
    <d v="3000-01-01T00:00:00"/>
    <n v="1"/>
    <s v="satish_kumar.r@nokia.com"/>
    <s v="Global CAM"/>
    <s v="In Headcount Internals"/>
  </r>
  <r>
    <x v="19"/>
    <s v="ZZ0099167"/>
    <n v="69083105"/>
    <s v="prpt"/>
    <s v="Pradeep"/>
    <s v="P T"/>
    <s v="P.T.Pradeep"/>
    <x v="0"/>
    <x v="0"/>
    <x v="6"/>
    <s v="New"/>
    <s v="Ashish"/>
    <x v="6"/>
    <s v="CK"/>
    <n v="1"/>
    <s v="Moved on Aug 1, 2016 to PCC Test"/>
    <d v="2000-01-01T00:00:00"/>
    <d v="3000-01-01T00:00:00"/>
    <n v="1"/>
    <s v="pradeep.p_t@nokia.com"/>
    <s v="Global CAM"/>
    <s v="In Headcount Internals"/>
  </r>
  <r>
    <x v="30"/>
    <s v="ZZ0099434"/>
    <n v="69083389"/>
    <s v="raamachg"/>
    <s v="G V"/>
    <s v="Raamachandhiran"/>
    <s v="RAAMACHANDHIRAN G V"/>
    <x v="0"/>
    <x v="0"/>
    <x v="3"/>
    <s v="New"/>
    <s v="Kudallur"/>
    <x v="4"/>
    <s v="CK"/>
    <n v="1"/>
    <s v="Moved on Aug 1, 2016 to PCC Test, Now on SD-OLT from Oct 10, 2016"/>
    <d v="2000-01-01T00:00:00"/>
    <d v="3000-01-01T00:00:00"/>
    <n v="1"/>
    <s v="g_v.raamachandhiran@nokia.com"/>
    <s v="Global CAM"/>
    <s v="In Headcount Internals"/>
  </r>
  <r>
    <x v="1"/>
    <s v="ZZ0097478"/>
    <n v="69082358"/>
    <s v="samithkb"/>
    <s v="Samith Kumar"/>
    <s v="Bandi"/>
    <s v="BANDI Samith Kumar"/>
    <x v="4"/>
    <x v="0"/>
    <x v="1"/>
    <s v="NA"/>
    <s v="Krishnakumar"/>
    <x v="1"/>
    <s v="Krishnakumar"/>
    <n v="1"/>
    <m/>
    <d v="2000-01-01T00:00:00"/>
    <d v="3000-01-01T00:00:00"/>
    <n v="1"/>
    <s v="samith_kumar.bandi@nokia.com"/>
    <s v="System Engineering"/>
    <s v="In Headcount Internals"/>
  </r>
  <r>
    <x v="14"/>
    <s v="ZZ0100959"/>
    <n v="69085034"/>
    <s v="lpdhond"/>
    <s v="Laxmikant"/>
    <s v="P Dhond"/>
    <s v="P. DHOND Laxmikant"/>
    <x v="0"/>
    <x v="0"/>
    <x v="3"/>
    <s v="Plug"/>
    <s v="Kudallur"/>
    <x v="2"/>
    <s v="CK"/>
    <n v="1"/>
    <s v="Joined on 3 -Mar-16"/>
    <d v="2000-01-01T00:00:00"/>
    <d v="3000-01-01T00:00:00"/>
    <n v="1"/>
    <s v="laxmikant.p_dhond@nokia.com"/>
    <s v="Global CAM"/>
    <s v="In Headcount Internals"/>
  </r>
  <r>
    <x v="18"/>
    <s v="FG0500197"/>
    <n v="69059442"/>
    <s v="vkoodali"/>
    <s v="Vivek"/>
    <s v="Koodali Thazhathuveetil"/>
    <s v="KOODALI THAZHATHUVEETIL Vivek"/>
    <x v="0"/>
    <x v="0"/>
    <x v="6"/>
    <s v="New"/>
    <s v="Kudallur"/>
    <x v="4"/>
    <s v="CK"/>
    <n v="1"/>
    <s v="Joined on 28-Mar-16"/>
    <d v="2000-01-01T00:00:00"/>
    <d v="3000-01-01T00:00:00"/>
    <n v="1"/>
    <s v="vivek.koodali_thazhathuveetil@nokia.com "/>
    <s v="Global CAM"/>
    <s v="In Headcount Internals"/>
  </r>
  <r>
    <x v="13"/>
    <s v="ZZ0100960"/>
    <n v="69085032"/>
    <s v="bhawnav"/>
    <s v="Bhawna"/>
    <s v="Verma"/>
    <s v="VERMA Bhawna"/>
    <x v="0"/>
    <x v="0"/>
    <x v="6"/>
    <s v="Core"/>
    <s v="Kudallur"/>
    <x v="2"/>
    <s v="CK"/>
    <n v="1"/>
    <s v="Joined on 3 -Mar-16"/>
    <d v="2000-01-01T00:00:00"/>
    <d v="2018-03-04T00:00:00"/>
    <n v="0"/>
    <s v="bhawna.verma@nokia.com"/>
    <s v="Global CAM"/>
    <s v="In Headcount Internals"/>
  </r>
  <r>
    <x v="25"/>
    <s v="ZZ0100960"/>
    <n v="69085032"/>
    <s v="bhawnav"/>
    <s v="Bhawna"/>
    <s v="Verma"/>
    <s v="VERMA Bhawna"/>
    <x v="0"/>
    <x v="0"/>
    <x v="3"/>
    <s v="New"/>
    <s v="Kudallur"/>
    <x v="4"/>
    <s v="CK"/>
    <n v="1"/>
    <m/>
    <d v="2018-03-05T00:00:00"/>
    <d v="3000-01-01T00:00:00"/>
    <n v="1"/>
    <s v="bhawna.verma@nokia.com"/>
    <s v="Global CAM"/>
    <s v="In Headcount Internals"/>
  </r>
  <r>
    <x v="18"/>
    <s v="ZZ0100958"/>
    <n v="69085030"/>
    <s v="athimmap"/>
    <s v="Ashwini"/>
    <s v="Thimmappa"/>
    <s v="THIMMAPPA Ashwini"/>
    <x v="0"/>
    <x v="0"/>
    <x v="6"/>
    <s v="New"/>
    <s v="Kudallur"/>
    <x v="4"/>
    <s v="CK"/>
    <n v="1"/>
    <s v="Joined on 3 -Mar-16"/>
    <d v="2000-01-01T00:00:00"/>
    <d v="3000-01-01T00:00:00"/>
    <n v="1"/>
    <s v="ashwini.thimmappa@nokia.com"/>
    <s v="Global CAM"/>
    <s v="In Headcount Internals"/>
  </r>
  <r>
    <x v="22"/>
    <s v="ZZ0101044"/>
    <n v="69085095"/>
    <s v="psaw"/>
    <s v="Prakash"/>
    <s v="Saw"/>
    <s v="SAW Prakash"/>
    <x v="0"/>
    <x v="0"/>
    <x v="3"/>
    <s v="New"/>
    <s v="Kudallur"/>
    <x v="6"/>
    <s v="CK"/>
    <n v="1"/>
    <s v="Joined on 3 -Mar-16"/>
    <d v="2000-01-01T00:00:00"/>
    <d v="3000-01-01T00:00:00"/>
    <n v="1"/>
    <s v="prakash.saw@nokia.com"/>
    <s v="Global CAM"/>
    <s v="In Headcount Internals"/>
  </r>
  <r>
    <x v="14"/>
    <s v="ZZ0101358"/>
    <n v="69085253"/>
    <s v="tnakhawa"/>
    <s v="Tejal Pradeep"/>
    <s v="Nakhawa"/>
    <s v="NAKHAWA Tejal Pradeep"/>
    <x v="0"/>
    <x v="0"/>
    <x v="3"/>
    <s v="Plug"/>
    <s v="Ashish"/>
    <x v="2"/>
    <s v="CK"/>
    <n v="1"/>
    <s v="Joined on 3 -Mar-16"/>
    <d v="2000-01-01T00:00:00"/>
    <d v="3000-01-01T00:00:00"/>
    <n v="1"/>
    <s v="tejal_pradeep.nakhawa@nokia.com"/>
    <s v="Global CAM"/>
    <s v="In Headcount Internals"/>
  </r>
  <r>
    <x v="15"/>
    <s v="ZZ0100963"/>
    <n v="69085037"/>
    <s v="pulakkar"/>
    <s v="Pulak Kanti"/>
    <s v="Roy"/>
    <s v="ROY Pulak Kanti"/>
    <x v="0"/>
    <x v="0"/>
    <x v="6"/>
    <s v="New"/>
    <s v="Ashish"/>
    <x v="4"/>
    <s v="CK"/>
    <n v="1"/>
    <s v="Joined on 3 -Mar-16"/>
    <d v="2000-01-01T00:00:00"/>
    <d v="3000-01-01T00:00:00"/>
    <n v="1"/>
    <s v="pulak_kanti.roy@nokia.com"/>
    <s v="Global CAM"/>
    <s v="In Headcount Internals"/>
  </r>
  <r>
    <x v="16"/>
    <s v="ZZ0100965"/>
    <n v="69085039"/>
    <s v="svijaysh"/>
    <s v="Shreyas"/>
    <s v="Vijay Shete"/>
    <s v="VIJAY SHETE Shreyas"/>
    <x v="0"/>
    <x v="0"/>
    <x v="6"/>
    <s v="NA"/>
    <s v="Ashish"/>
    <x v="13"/>
    <s v="CK"/>
    <n v="1"/>
    <s v="Joined on 3 -Mar-16"/>
    <d v="2000-01-01T00:00:00"/>
    <d v="3000-01-01T00:00:00"/>
    <n v="1"/>
    <s v="shreyas.vijay_shete@nokia.com"/>
    <s v="Global CAM"/>
    <s v="In Headcount Internals"/>
  </r>
  <r>
    <x v="1"/>
    <s v="PA0020510"/>
    <n v="69087776"/>
    <s v="shamasum"/>
    <s v="Shama Sundara"/>
    <s v="M"/>
    <s v="M Shama Sundara"/>
    <x v="4"/>
    <x v="0"/>
    <x v="1"/>
    <s v="NA"/>
    <s v="Krishnakumar"/>
    <x v="1"/>
    <s v="Krishnakumar"/>
    <n v="1"/>
    <s v="New joinee"/>
    <d v="2000-01-01T00:00:00"/>
    <d v="3000-01-01T00:00:00"/>
    <n v="1"/>
    <s v="shama_sundara.m@nokia.com"/>
    <s v="System Engineering"/>
    <s v="In Headcount Internals"/>
  </r>
  <r>
    <x v="2"/>
    <s v="HZ0012098"/>
    <n v="69059634"/>
    <s v="jrajnide"/>
    <s v="Rajni Deepa"/>
    <s v="John"/>
    <s v="Rajni Deepa John"/>
    <x v="0"/>
    <x v="0"/>
    <x v="2"/>
    <s v="Core"/>
    <s v="Peter M"/>
    <x v="3"/>
    <s v="CK"/>
    <n v="1"/>
    <m/>
    <d v="2000-01-01T00:00:00"/>
    <d v="3000-01-01T00:00:00"/>
    <n v="1"/>
    <s v="rajni_deepa.john@nokia.com"/>
    <s v="5520/29 Core PDL"/>
    <s v="In Headcount Internals"/>
  </r>
  <r>
    <x v="2"/>
    <s v="PA0010443"/>
    <n v="69048077"/>
    <s v="ndesikan"/>
    <s v="Desikan"/>
    <s v="N"/>
    <s v="N Desikan"/>
    <x v="4"/>
    <x v="0"/>
    <x v="2"/>
    <s v="New"/>
    <s v="Bart"/>
    <x v="4"/>
    <s v="CK"/>
    <n v="0.9"/>
    <m/>
    <d v="2000-01-01T00:00:00"/>
    <d v="3000-01-01T00:00:00"/>
    <n v="0.9"/>
    <s v="desikan.n@nokia.com"/>
    <s v="5520/29 Core PDL"/>
    <s v="In Headcount Internals"/>
  </r>
  <r>
    <x v="2"/>
    <s v="PA0010443"/>
    <n v="69048077"/>
    <s v="ndesikan"/>
    <s v="Desikan"/>
    <s v="N"/>
    <s v="N Desikan"/>
    <x v="4"/>
    <x v="0"/>
    <x v="2"/>
    <s v="New"/>
    <s v="Bart"/>
    <x v="11"/>
    <s v="CK"/>
    <n v="0.1"/>
    <m/>
    <d v="2000-01-01T00:00:00"/>
    <d v="3000-01-01T00:00:00"/>
    <n v="0.1"/>
    <s v="desikan.n@nokia.com"/>
    <s v="5520/29 Core PDL"/>
    <s v="In Headcount Internals"/>
  </r>
  <r>
    <x v="24"/>
    <s v="ZZ0003059"/>
    <n v="69055398"/>
    <s v="sakthivr"/>
    <s v="Sakthivel"/>
    <s v="Ramachandiran"/>
    <s v="RAMACHANDIRAN Sakthivel"/>
    <x v="0"/>
    <x v="0"/>
    <x v="6"/>
    <s v="Plug"/>
    <s v="Ashish"/>
    <x v="2"/>
    <s v="CK"/>
    <n v="1"/>
    <m/>
    <d v="2000-01-01T00:00:00"/>
    <d v="3000-01-01T00:00:00"/>
    <n v="1"/>
    <s v="sakthivel.ramachandiran@nokia.com"/>
    <s v="Global CAM"/>
    <s v="In Headcount Internals"/>
  </r>
  <r>
    <x v="2"/>
    <s v="HZ0043403"/>
    <n v="69059642"/>
    <s v="dthiruve"/>
    <s v="Thiruvengadam"/>
    <s v="Dhamodaran"/>
    <s v="DHAMODHARAN Thiruvengadam"/>
    <x v="0"/>
    <x v="0"/>
    <x v="2"/>
    <s v="Plug"/>
    <s v="Manoj"/>
    <x v="3"/>
    <s v="CK"/>
    <n v="1"/>
    <m/>
    <d v="2000-01-01T00:00:00"/>
    <d v="3000-01-01T00:00:00"/>
    <n v="1"/>
    <s v="thiruvengadam.dhamodaran@nokia.com"/>
    <s v="5520/29 PlugIn PDL"/>
    <s v="In Headcount Internals"/>
  </r>
  <r>
    <x v="27"/>
    <s v="ZZ0003156"/>
    <n v="69055413"/>
    <s v="anramasu"/>
    <s v="Ananthakrishnan"/>
    <s v="Ramasubramanian"/>
    <s v="RAMASUBRAMANIAN Ananthakrishnan"/>
    <x v="0"/>
    <x v="0"/>
    <x v="6"/>
    <s v="Core"/>
    <s v="Kudallur"/>
    <x v="2"/>
    <s v="CK"/>
    <n v="1"/>
    <m/>
    <d v="2000-01-01T00:00:00"/>
    <d v="3000-01-01T00:00:00"/>
    <n v="1"/>
    <s v="ananthakrishnan.ramasubramanian@nokia.com "/>
    <s v="Global CAM"/>
    <s v="In Headcount Internals"/>
  </r>
  <r>
    <x v="19"/>
    <s v="ZZ0002898"/>
    <n v="69055357"/>
    <s v="ganapatg"/>
    <s v="Ganapathi"/>
    <s v="Gurusamy"/>
    <s v="Gurusamy Ganapathi"/>
    <x v="0"/>
    <x v="0"/>
    <x v="6"/>
    <s v="New"/>
    <s v="Kudallur"/>
    <x v="6"/>
    <s v="CK"/>
    <n v="1"/>
    <m/>
    <d v="2000-01-01T00:00:00"/>
    <d v="3000-01-01T00:00:00"/>
    <n v="1"/>
    <s v="ganapathi.gurusamy@nokia.com "/>
    <s v="Global CAM"/>
    <s v="In Headcount Internals"/>
  </r>
  <r>
    <x v="11"/>
    <s v="ZZ0009482"/>
    <n v="69056009"/>
    <s v="suriyans"/>
    <s v="Suriyanath"/>
    <s v="S"/>
    <s v="S Suryanath"/>
    <x v="0"/>
    <x v="0"/>
    <x v="5"/>
    <s v="NA"/>
    <s v="SVGK"/>
    <x v="0"/>
    <s v="CK"/>
    <n v="1"/>
    <m/>
    <d v="2000-01-01T00:00:00"/>
    <d v="3000-01-01T00:00:00"/>
    <n v="1"/>
    <s v="suriyanath.s@nokia.com"/>
    <s v="Global CAM"/>
    <s v="In Headcount Internals"/>
  </r>
  <r>
    <x v="11"/>
    <s v="ZZ0009790"/>
    <n v="69062162"/>
    <s v="aswinik"/>
    <s v="Aswini"/>
    <s v="K"/>
    <s v="KUMAR Aswini"/>
    <x v="0"/>
    <x v="0"/>
    <x v="5"/>
    <s v="NA"/>
    <s v="SVGK"/>
    <x v="0"/>
    <s v="CK"/>
    <n v="1"/>
    <m/>
    <d v="2000-01-01T00:00:00"/>
    <d v="2018-01-10T00:00:00"/>
    <n v="0"/>
    <s v="aswini.k@nokia.com"/>
    <s v="Global CAM"/>
    <s v="In Headcount Internals"/>
  </r>
  <r>
    <x v="1"/>
    <s v="ZZ0003428"/>
    <n v="69055473"/>
    <s v="kirp"/>
    <s v="Kiran"/>
    <s v="R P"/>
    <s v="R P Kiran"/>
    <x v="4"/>
    <x v="0"/>
    <x v="1"/>
    <s v="NA"/>
    <s v="Krishnakumar"/>
    <x v="1"/>
    <s v="Krishnakumar"/>
    <n v="0.7"/>
    <s v="Joined 0n 1-Apr-16 in Bangalore"/>
    <d v="2000-01-01T00:00:00"/>
    <d v="3000-01-01T00:00:00"/>
    <n v="0.7"/>
    <s v="kiran.r_p@nokia.com"/>
    <s v="System Engineering"/>
    <s v="In Headcount Internals"/>
  </r>
  <r>
    <x v="1"/>
    <s v="ZZ0003428"/>
    <n v="69055473"/>
    <s v="kirp"/>
    <s v="Kiran"/>
    <s v="R P"/>
    <s v="R P Kiran"/>
    <x v="4"/>
    <x v="0"/>
    <x v="1"/>
    <s v="NA"/>
    <s v="Krishnakumar"/>
    <x v="2"/>
    <s v="Krishnakumar"/>
    <n v="0.3"/>
    <s v="Joined 0n 1-Apr-16 in Bangalore"/>
    <d v="2000-01-01T00:00:00"/>
    <d v="3000-01-01T00:00:00"/>
    <n v="0.3"/>
    <s v="kiran.r_p@nokia.com"/>
    <s v="System Engineering"/>
    <s v="In Headcount Internals"/>
  </r>
  <r>
    <x v="24"/>
    <s v="ZZ0013686"/>
    <n v="69056950"/>
    <s v="Sreekank"/>
    <s v="Sreekanth"/>
    <s v="K"/>
    <s v="K Sreekanth"/>
    <x v="0"/>
    <x v="0"/>
    <x v="6"/>
    <s v="Plug"/>
    <s v="Kudallur"/>
    <x v="2"/>
    <s v="CK"/>
    <n v="1"/>
    <m/>
    <d v="2000-01-01T00:00:00"/>
    <d v="3000-01-01T00:00:00"/>
    <n v="1"/>
    <s v="sreekanth.k@nokia.com "/>
    <s v="Global CAM"/>
    <s v="In Headcount Internals"/>
  </r>
  <r>
    <x v="14"/>
    <s v="ZZ0013691"/>
    <n v="69062292"/>
    <s v="gavenkat"/>
    <s v="Ganesh"/>
    <s v="Venkataramanan"/>
    <s v="VENKATARAMANAN Ganesh"/>
    <x v="0"/>
    <x v="0"/>
    <x v="3"/>
    <s v="Plug"/>
    <s v="Ashish"/>
    <x v="2"/>
    <s v="CK"/>
    <n v="1"/>
    <m/>
    <d v="2000-01-01T00:00:00"/>
    <d v="3000-01-01T00:00:00"/>
    <n v="1"/>
    <s v="ganesh.venkataramanan@nokia.com"/>
    <s v="Global CAM"/>
    <s v="In Headcount Internals"/>
  </r>
  <r>
    <x v="21"/>
    <s v="ZZ0013914"/>
    <n v="69057015"/>
    <s v="sivaprir"/>
    <s v="Sivapriya"/>
    <s v="R"/>
    <s v="R Sivapriya"/>
    <x v="0"/>
    <x v="0"/>
    <x v="3"/>
    <s v="Plug"/>
    <s v="Kudallur"/>
    <x v="12"/>
    <s v="CK"/>
    <n v="1"/>
    <m/>
    <d v="2000-01-01T00:00:00"/>
    <d v="3000-01-01T00:00:00"/>
    <n v="1"/>
    <s v="sivapriya.r@nokia.com "/>
    <s v="Global CAM"/>
    <s v="In Headcount Internals"/>
  </r>
  <r>
    <x v="21"/>
    <s v="ZZ0013917"/>
    <n v="69057016"/>
    <s v="raananda"/>
    <s v="Rajkumar"/>
    <s v="Anandan"/>
    <s v="ANANDAN Rajkumar"/>
    <x v="0"/>
    <x v="0"/>
    <x v="3"/>
    <s v="New"/>
    <s v="Ashish"/>
    <x v="12"/>
    <s v="CK"/>
    <n v="1"/>
    <m/>
    <d v="2000-01-01T00:00:00"/>
    <d v="3000-01-01T00:00:00"/>
    <n v="1"/>
    <s v="rajkumar.anandan@nokia.com"/>
    <s v="Global CAM"/>
    <s v="In Headcount Internals"/>
  </r>
  <r>
    <x v="14"/>
    <s v="ZZ0013919"/>
    <n v="69057017"/>
    <s v="daminio"/>
    <s v="Damini"/>
    <s v="Ojha"/>
    <s v="OJHA Damini"/>
    <x v="0"/>
    <x v="0"/>
    <x v="3"/>
    <s v="Plug"/>
    <s v="Ashish"/>
    <x v="2"/>
    <s v="CK"/>
    <n v="1"/>
    <m/>
    <d v="2000-01-01T00:00:00"/>
    <d v="3000-01-01T00:00:00"/>
    <n v="1"/>
    <s v="damini.ojha@nokia.com"/>
    <s v="Global CAM"/>
    <s v="In Headcount Internals"/>
  </r>
  <r>
    <x v="14"/>
    <s v="CA0149051"/>
    <n v="69036370"/>
    <s v="rapt"/>
    <s v="Ramya"/>
    <s v="P.T"/>
    <s v="P T Ramya"/>
    <x v="0"/>
    <x v="0"/>
    <x v="3"/>
    <s v="Plug"/>
    <s v="Kudallur"/>
    <x v="2"/>
    <s v="CK"/>
    <n v="1"/>
    <m/>
    <d v="2000-01-01T00:00:00"/>
    <d v="3000-01-01T00:00:00"/>
    <n v="1"/>
    <s v="ramya.p_t@nokia.com "/>
    <s v="Global CAM"/>
    <s v="In Headcount Internals"/>
  </r>
  <r>
    <x v="25"/>
    <s v="ZZ0127122"/>
    <n v="69105776"/>
    <s v="aac"/>
    <s v="Arun"/>
    <s v="AC"/>
    <s v="AC Arun"/>
    <x v="0"/>
    <x v="0"/>
    <x v="3"/>
    <s v="New"/>
    <s v="Kudallur"/>
    <x v="6"/>
    <s v="CK"/>
    <n v="1"/>
    <m/>
    <d v="2000-01-01T00:00:00"/>
    <d v="3000-01-01T00:00:00"/>
    <n v="1"/>
    <s v="arun.a_c@nokia.com"/>
    <s v="Global CAM"/>
    <s v="In Headcount Internals"/>
  </r>
  <r>
    <x v="25"/>
    <s v="ZZ0129551"/>
    <n v="69107613"/>
    <s v="karunesc"/>
    <s v="Karunesh"/>
    <s v="Chhabra"/>
    <s v="CHHABRA Karunesh"/>
    <x v="0"/>
    <x v="0"/>
    <x v="3"/>
    <s v="New"/>
    <s v="Kudallur"/>
    <x v="6"/>
    <s v="CK"/>
    <n v="1"/>
    <m/>
    <d v="2000-01-01T00:00:00"/>
    <d v="3000-01-01T00:00:00"/>
    <n v="1"/>
    <s v="karunesh.chhabra@nokia.com"/>
    <s v="Global CAM"/>
    <s v="In Headcount Internals"/>
  </r>
  <r>
    <x v="16"/>
    <s v="CA0144642"/>
    <n v="69036345"/>
    <s v="tka"/>
    <s v="Thousief"/>
    <s v="K A"/>
    <s v="K A Thousief"/>
    <x v="0"/>
    <x v="0"/>
    <x v="6"/>
    <s v="NA"/>
    <s v="Ashish"/>
    <x v="13"/>
    <s v="CK"/>
    <n v="1"/>
    <m/>
    <d v="2000-01-01T00:00:00"/>
    <d v="3000-01-01T00:00:00"/>
    <n v="1"/>
    <s v="thousief.k_a@nokia.com"/>
    <s v="Global CAM"/>
    <s v="In Headcount Internals"/>
  </r>
  <r>
    <x v="17"/>
    <s v="CA0058370"/>
    <n v="69063248"/>
    <s v="balachrd"/>
    <s v="Balachandar"/>
    <s v="R D"/>
    <s v="Balachandar R.D"/>
    <x v="0"/>
    <x v="0"/>
    <x v="5"/>
    <s v="NA"/>
    <s v="SVGK"/>
    <x v="0"/>
    <s v="CK"/>
    <n v="1"/>
    <s v="Lab contractor"/>
    <d v="2000-01-01T00:00:00"/>
    <d v="3000-01-01T00:00:00"/>
    <n v="1"/>
    <s v="balachandar.r_d@nokia.com"/>
    <s v="Global CAM"/>
    <s v="In Headcount Internals"/>
  </r>
  <r>
    <x v="17"/>
    <s v="CA0082424"/>
    <n v="69063372"/>
    <s v="kumaraks"/>
    <s v="Kumarakrishnan"/>
    <s v="Sivakumar"/>
    <s v="S Kumarakrishnan"/>
    <x v="0"/>
    <x v="0"/>
    <x v="5"/>
    <s v="NA"/>
    <s v="SVGK"/>
    <x v="0"/>
    <s v="CK"/>
    <n v="1"/>
    <s v="Lab Lead"/>
    <d v="2000-01-01T00:00:00"/>
    <d v="3000-01-01T00:00:00"/>
    <n v="1"/>
    <s v="kumarakrishnan.sivakumar@nokia.com"/>
    <s v="Global CAM"/>
    <s v="In Headcount Internals"/>
  </r>
  <r>
    <x v="17"/>
    <s v="CA0007405"/>
    <n v="69062985"/>
    <s v="ukanniya"/>
    <s v="Umapathy"/>
    <s v="K"/>
    <s v="KANNIAYAKUMAR Umapathy"/>
    <x v="0"/>
    <x v="0"/>
    <x v="5"/>
    <s v="NA"/>
    <s v="SVGK"/>
    <x v="0"/>
    <s v="CK"/>
    <n v="1"/>
    <s v="Lab contractor"/>
    <d v="2000-01-01T00:00:00"/>
    <d v="3000-01-01T00:00:00"/>
    <n v="1"/>
    <s v="umapathy.k@nokia.com"/>
    <s v="Global CAM"/>
    <s v="In Headcount Internals"/>
  </r>
  <r>
    <x v="2"/>
    <s v="PA0016622"/>
    <n v="69050283"/>
    <s v="prahul"/>
    <s v="RAHUL M"/>
    <s v="PUJARI"/>
    <s v="PUJARI Rahul"/>
    <x v="4"/>
    <x v="0"/>
    <x v="2"/>
    <s v="New"/>
    <s v="Bart"/>
    <x v="6"/>
    <s v="CK"/>
    <n v="1"/>
    <s v="IJPM transfer, resigned on 10-July-14"/>
    <d v="2000-01-01T00:00:00"/>
    <d v="3000-01-01T00:00:00"/>
    <n v="1"/>
    <s v="rahul.pujari@nokia.com"/>
    <s v="5520/29 Core PDL"/>
    <s v="In Headcount Internals"/>
  </r>
  <r>
    <x v="0"/>
    <s v="PA0009801"/>
    <n v="69047886"/>
    <s v="msarma"/>
    <s v="MANOJ P"/>
    <s v="SARMA"/>
    <s v="SARMA Manoj"/>
    <x v="4"/>
    <x v="0"/>
    <x v="0"/>
    <s v="Plug"/>
    <s v="KK"/>
    <x v="3"/>
    <s v="CK"/>
    <n v="1"/>
    <s v="Manoj is PDL for Plugs and also responsible for CP Systems engineering"/>
    <d v="2000-01-01T00:00:00"/>
    <d v="3000-01-01T00:00:00"/>
    <n v="1"/>
    <s v="manoj.sarma@nokia.com"/>
    <s v="5520/29 PlugIn PDL"/>
    <s v="In Headcount Internals"/>
  </r>
  <r>
    <x v="24"/>
    <s v="ZZ0013326"/>
    <n v="69056861"/>
    <s v="vamsaman"/>
    <s v="Vinoth"/>
    <s v="Amsamani"/>
    <s v="AMSAMANI Vinoth"/>
    <x v="0"/>
    <x v="0"/>
    <x v="6"/>
    <s v="Plug"/>
    <s v="Ashish"/>
    <x v="2"/>
    <s v="CK"/>
    <n v="1"/>
    <m/>
    <d v="2000-01-01T00:00:00"/>
    <d v="3000-01-01T00:00:00"/>
    <n v="1"/>
    <s v="vinoth.amsamani@nokia.com"/>
    <s v="Global CAM"/>
    <s v="In Headcount Internals"/>
  </r>
  <r>
    <x v="3"/>
    <s v="ZZ0013700"/>
    <n v="69056957"/>
    <s v="shvenkat"/>
    <s v="Shankar Ram"/>
    <s v="Venkatasubramanian"/>
    <s v="VENKATASUBRAMANIAN Shankar Ram"/>
    <x v="0"/>
    <x v="0"/>
    <x v="3"/>
    <s v="New"/>
    <s v="Ashish"/>
    <x v="11"/>
    <s v="CK"/>
    <n v="1"/>
    <m/>
    <d v="2000-01-01T00:00:00"/>
    <d v="3000-01-01T00:00:00"/>
    <n v="1"/>
    <s v="shankar_ram.venkatasubramanian@nokia.com"/>
    <s v="Global CAM"/>
    <s v="In Headcount Internals"/>
  </r>
  <r>
    <x v="25"/>
    <s v="ZZ0003542"/>
    <n v="69055492"/>
    <s v="kajamohr"/>
    <s v="Kaja Mohideen"/>
    <s v="Rasool"/>
    <s v="RASOOL Kaja Mohideen"/>
    <x v="0"/>
    <x v="0"/>
    <x v="3"/>
    <s v="New"/>
    <s v="Ashish"/>
    <x v="6"/>
    <s v="CK"/>
    <n v="1"/>
    <m/>
    <d v="2000-01-01T00:00:00"/>
    <d v="3000-01-01T00:00:00"/>
    <n v="1"/>
    <s v="kaja_mohideen.rasool@nokia.com"/>
    <s v="Global CAM"/>
    <s v="In Headcount Internals"/>
  </r>
  <r>
    <x v="19"/>
    <s v="ZZ0010407"/>
    <n v="69056227"/>
    <s v="gmariapp"/>
    <s v="Gandhi Rajan"/>
    <s v="Mariappan"/>
    <s v="MARIAPPAN Gandhi Rajan"/>
    <x v="0"/>
    <x v="0"/>
    <x v="6"/>
    <s v="New"/>
    <s v="Kudallur"/>
    <x v="6"/>
    <s v="CK"/>
    <n v="1"/>
    <s v="Moving on July 8, 2016"/>
    <d v="2000-01-01T00:00:00"/>
    <d v="3000-01-01T00:00:00"/>
    <n v="1"/>
    <s v="gandhi_rajan.mariappan@nokia.com"/>
    <s v="Global CAM"/>
    <s v="In Headcount Internals"/>
  </r>
  <r>
    <x v="25"/>
    <s v="ZZ0003648"/>
    <n v="69062078"/>
    <s v="manikanr"/>
    <s v="Manikandan"/>
    <s v="Rajendran"/>
    <s v="RAJENDRAN Manikandan "/>
    <x v="0"/>
    <x v="0"/>
    <x v="3"/>
    <s v="New"/>
    <s v="Ashish"/>
    <x v="5"/>
    <s v="CK"/>
    <n v="1"/>
    <s v="Moved from Test -&gt; Dev"/>
    <d v="2000-01-01T00:00:00"/>
    <d v="3000-01-01T00:00:00"/>
    <n v="1"/>
    <s v="manikandan.1.rajendran@nokia.com"/>
    <s v="Global CAM"/>
    <s v="In Headcount Internals"/>
  </r>
  <r>
    <x v="25"/>
    <s v="ZZ0003868"/>
    <n v="69055555"/>
    <s v="vaseesws"/>
    <s v="Vaseeswaran"/>
    <s v="S P"/>
    <s v="S P Vaseeswaran"/>
    <x v="0"/>
    <x v="0"/>
    <x v="3"/>
    <s v="New"/>
    <s v="Ashish"/>
    <x v="6"/>
    <s v="CK"/>
    <n v="1"/>
    <m/>
    <d v="2000-01-01T00:00:00"/>
    <d v="3000-01-01T00:00:00"/>
    <n v="1"/>
    <s v="vaseeswaran.s_p@nokia.com"/>
    <s v="Global CAM"/>
    <s v="In Headcount Internals"/>
  </r>
  <r>
    <x v="33"/>
    <s v="ZZ0004014"/>
    <n v="69055578"/>
    <s v="yjayapal"/>
    <s v="Yogananth"/>
    <s v="Jayapal"/>
    <s v=" JAYAPALYogananth"/>
    <x v="0"/>
    <x v="0"/>
    <x v="6"/>
    <s v="Core"/>
    <s v="Kudallur"/>
    <x v="10"/>
    <s v="CK"/>
    <n v="1"/>
    <m/>
    <d v="2000-01-01T00:00:00"/>
    <d v="3000-01-01T00:00:00"/>
    <n v="1"/>
    <s v="yogananth.jayapal@nokia.com "/>
    <s v="Global CAM"/>
    <s v="In Headcount Internals"/>
  </r>
  <r>
    <x v="6"/>
    <s v="PA0015591"/>
    <n v="69060939"/>
    <s v="ppiplani"/>
    <s v="Pulak"/>
    <s v="PIPLANI"/>
    <s v="Pulak Piplani"/>
    <x v="4"/>
    <x v="0"/>
    <x v="0"/>
    <s v="NA"/>
    <s v="KK"/>
    <x v="1"/>
    <s v="Pulak"/>
    <n v="1"/>
    <m/>
    <d v="2000-01-01T00:00:00"/>
    <d v="3000-01-01T00:00:00"/>
    <n v="1"/>
    <s v="pulak.piplani@nokia.com"/>
    <s v="PLM-APAC"/>
    <s v="In Headcount Internals"/>
  </r>
  <r>
    <x v="6"/>
    <s v="PA0020507"/>
    <n v="69061182"/>
    <s v="mahadeva"/>
    <s v="Mahadevan"/>
    <s v="V C"/>
    <s v="VC Mahadevan"/>
    <x v="4"/>
    <x v="0"/>
    <x v="4"/>
    <s v="NA"/>
    <s v="KK"/>
    <x v="12"/>
    <s v="Pulak"/>
    <n v="1"/>
    <m/>
    <d v="2000-01-01T00:00:00"/>
    <d v="3000-01-01T00:00:00"/>
    <n v="0.5"/>
    <s v="mahadevan.vc@nokia.com"/>
    <s v="PLM-APAC"/>
    <s v="In Headcount Internals"/>
  </r>
  <r>
    <x v="6"/>
    <s v="PA0020507"/>
    <n v="69061182"/>
    <s v="mahadeva"/>
    <s v="Mahadevan"/>
    <s v="V C"/>
    <s v="VC Mahadevan"/>
    <x v="4"/>
    <x v="0"/>
    <x v="4"/>
    <s v="NA"/>
    <s v="KK"/>
    <x v="11"/>
    <s v="Pulak"/>
    <n v="1"/>
    <m/>
    <d v="2000-01-01T00:00:00"/>
    <d v="3000-01-01T00:00:00"/>
    <n v="0.5"/>
    <s v="mahadevan.vc@nokia.com"/>
    <s v="PLM-APAC"/>
    <s v="In Headcount Internals"/>
  </r>
  <r>
    <x v="19"/>
    <s v="ZZ0007511"/>
    <n v="69062100"/>
    <s v="sridhava"/>
    <s v="Sridhar"/>
    <s v="V"/>
    <s v="Sridhar Varadarajan"/>
    <x v="0"/>
    <x v="0"/>
    <x v="6"/>
    <s v="New"/>
    <s v="Kudallur"/>
    <x v="6"/>
    <s v="CK"/>
    <n v="1"/>
    <s v="ACP lead"/>
    <d v="2000-01-01T00:00:00"/>
    <d v="3000-01-01T00:00:00"/>
    <n v="1"/>
    <s v="sridhar.v@nokia.com"/>
    <s v="Global CAM"/>
    <s v="In Headcount Internals"/>
  </r>
  <r>
    <x v="5"/>
    <s v="ZZ0007693"/>
    <n v="69055712"/>
    <s v="sappana"/>
    <s v="Sandeep"/>
    <s v="Appana"/>
    <s v="Appana Sandeep"/>
    <x v="0"/>
    <x v="0"/>
    <x v="3"/>
    <s v="Plug"/>
    <s v="Ashish"/>
    <x v="4"/>
    <s v="CK"/>
    <n v="1"/>
    <m/>
    <d v="2000-01-01T00:00:00"/>
    <d v="3000-01-01T00:00:00"/>
    <n v="1"/>
    <s v="sandeep.appana@nokia.com"/>
    <s v="Global CAM"/>
    <s v="In Headcount Internals"/>
  </r>
  <r>
    <x v="24"/>
    <s v="ZZ0007077"/>
    <n v="69055632"/>
    <s v="nchellap"/>
    <s v="Nageswari"/>
    <s v="Chellapan Pillai"/>
    <s v="Nageswari Chellapan Pillai"/>
    <x v="0"/>
    <x v="0"/>
    <x v="6"/>
    <s v="Plug"/>
    <s v="Kudallur"/>
    <x v="2"/>
    <s v="CK"/>
    <n v="1"/>
    <m/>
    <d v="2000-01-01T00:00:00"/>
    <d v="3000-01-01T00:00:00"/>
    <n v="1"/>
    <s v="nageswari.chellappan_pillai@nokia.com"/>
    <s v="Global CAM"/>
    <s v="In Headcount Internals"/>
  </r>
  <r>
    <x v="26"/>
    <s v="CA0167826"/>
    <n v="69071615"/>
    <s v="ssachchi"/>
    <s v="Siddharth S"/>
    <s v="Jere"/>
    <s v="JERE Siddharth S"/>
    <x v="0"/>
    <x v="0"/>
    <x v="6"/>
    <s v="New"/>
    <s v="Kudallur"/>
    <x v="6"/>
    <s v="CK"/>
    <n v="1"/>
    <s v="Common SET team member"/>
    <d v="2000-01-01T00:00:00"/>
    <d v="3000-01-01T00:00:00"/>
    <n v="1"/>
    <s v="siddharth_s.jere@nokia.com"/>
    <s v="Global CAM"/>
    <s v="In Headcount Internals"/>
  </r>
  <r>
    <x v="3"/>
    <s v="ZZ0132902"/>
    <n v="69110514"/>
    <s v="rameshp"/>
    <s v="Ramesh 1"/>
    <s v="P"/>
    <s v="P Ramesh"/>
    <x v="0"/>
    <x v="0"/>
    <x v="3"/>
    <s v="New"/>
    <s v="Kudallur"/>
    <x v="4"/>
    <s v="CK"/>
    <n v="1"/>
    <m/>
    <d v="2000-01-01T00:00:00"/>
    <d v="3000-01-01T00:00:00"/>
    <n v="1"/>
    <s v="ramesh.1.p@nokia.com"/>
    <s v="Global CAM"/>
    <s v="In Headcount Internals"/>
  </r>
  <r>
    <x v="29"/>
    <s v="ZZ0137537"/>
    <n v="69112895"/>
    <s v="nitinr"/>
    <s v="Nitin"/>
    <s v="Ranjan"/>
    <s v="RANJAN Nitin 1"/>
    <x v="4"/>
    <x v="0"/>
    <x v="3"/>
    <s v="Core"/>
    <s v="Bineesh"/>
    <x v="13"/>
    <s v="CK"/>
    <n v="1"/>
    <s v="He will be on training till Aug 4, 2017"/>
    <d v="2000-01-01T00:00:00"/>
    <d v="3000-01-01T00:00:00"/>
    <n v="1"/>
    <s v="nitin.1.ranjan@nokia.com"/>
    <s v="Global CAM"/>
    <s v="In Headcount Internals"/>
  </r>
  <r>
    <x v="1"/>
    <s v="PA0018248"/>
    <n v="69061078"/>
    <s v="prabhuts"/>
    <s v="Prabhu"/>
    <s v="T S"/>
    <s v="T.S.Prabhu"/>
    <x v="4"/>
    <x v="0"/>
    <x v="1"/>
    <s v="NA"/>
    <s v="Krishnakumar"/>
    <x v="1"/>
    <s v="Krishnakumar"/>
    <n v="1"/>
    <m/>
    <d v="2000-01-01T00:00:00"/>
    <d v="3000-01-01T00:00:00"/>
    <n v="1"/>
    <s v="prabhu.t_s@nokia.com"/>
    <s v="Global CAM"/>
    <s v="In Headcount Internals"/>
  </r>
  <r>
    <x v="22"/>
    <s v="ZZ0109289"/>
    <n v="69090935"/>
    <s v="ps023"/>
    <s v="Priya"/>
    <s v="S"/>
    <s v="S Priya 2"/>
    <x v="0"/>
    <x v="0"/>
    <x v="3"/>
    <s v="New"/>
    <s v="Ashish"/>
    <x v="5"/>
    <s v="CK"/>
    <n v="1"/>
    <m/>
    <d v="2000-01-01T00:00:00"/>
    <d v="3000-01-01T00:00:00"/>
    <n v="1"/>
    <s v="priya.1.s@nokia.com"/>
    <s v="Global CAM"/>
    <s v="In Headcount Internals"/>
  </r>
  <r>
    <x v="3"/>
    <s v="ZZ0108620"/>
    <n v="69090471"/>
    <s v="somils"/>
    <s v="Somil"/>
    <s v="Saxena"/>
    <s v="SAXENA Somil"/>
    <x v="0"/>
    <x v="0"/>
    <x v="3"/>
    <s v="New"/>
    <s v="Ashish"/>
    <x v="4"/>
    <s v="CK"/>
    <n v="1"/>
    <m/>
    <d v="2000-01-01T00:00:00"/>
    <d v="3000-01-01T00:00:00"/>
    <n v="1"/>
    <s v="somil.saxena@nokia.com"/>
    <s v="Global CAM"/>
    <s v="In Headcount Internals"/>
  </r>
  <r>
    <x v="11"/>
    <s v="CA0167823"/>
    <n v="69071614"/>
    <s v="fnawaz"/>
    <s v="Fazlul Kader Murshed"/>
    <s v="Nawaz"/>
    <s v="NAWAZ Fazlul Khaser Murshed"/>
    <x v="0"/>
    <x v="0"/>
    <x v="5"/>
    <s v="NA"/>
    <s v="SVGK"/>
    <x v="0"/>
    <s v="CK"/>
    <n v="1"/>
    <m/>
    <d v="2000-01-01T00:00:00"/>
    <d v="3000-01-01T00:00:00"/>
    <n v="1"/>
    <s v="fazlul_kader_murshed.nawaz@nokia.com"/>
    <s v="Global CAM"/>
    <s v="In Headcount Internals"/>
  </r>
  <r>
    <x v="8"/>
    <s v="ZZ0108630"/>
    <n v="69090651"/>
    <s v="mn"/>
    <s v="Mahesh"/>
    <s v="N"/>
    <s v="N Mahesh"/>
    <x v="4"/>
    <x v="0"/>
    <x v="3"/>
    <s v="New"/>
    <s v="Bineesh"/>
    <x v="4"/>
    <s v="CK"/>
    <n v="1"/>
    <m/>
    <d v="2000-01-01T00:00:00"/>
    <d v="3000-01-01T00:00:00"/>
    <n v="1"/>
    <s v="mahesh.n@nokia.com"/>
    <s v="Global CAM"/>
    <s v="In Headcount Internals"/>
  </r>
  <r>
    <x v="8"/>
    <s v="ZZ0109287"/>
    <n v="69090928"/>
    <s v="ddayagha"/>
    <s v="Deeksha"/>
    <s v="Dayaghan Shanbhag"/>
    <s v="DAYAGAN SHANBHAG Deeksha"/>
    <x v="4"/>
    <x v="0"/>
    <x v="3"/>
    <s v="New"/>
    <s v="Bineesh"/>
    <x v="4"/>
    <s v="CK"/>
    <n v="1"/>
    <m/>
    <d v="2000-01-01T00:00:00"/>
    <d v="3000-01-01T00:00:00"/>
    <n v="1"/>
    <s v="deeksha.dayaghan_shanbhag@nokia.com"/>
    <s v="Global CAM"/>
    <s v="In Headcount Internals"/>
  </r>
  <r>
    <x v="32"/>
    <s v="PA0042327"/>
    <n v="69052840"/>
    <s v="arulkumm"/>
    <s v="Arulkumar"/>
    <s v="Mani"/>
    <s v="Arul Kumar Mani"/>
    <x v="0"/>
    <x v="0"/>
    <x v="3"/>
    <s v="New"/>
    <s v="Kudallur"/>
    <x v="5"/>
    <s v="CK"/>
    <n v="1"/>
    <s v="IJOM candidate, IA"/>
    <d v="2000-01-01T00:00:00"/>
    <d v="3000-01-01T00:00:00"/>
    <n v="1"/>
    <s v="arulkumar.mani@nokia.com"/>
    <s v="Global CAM"/>
    <s v="In Headcount Internals"/>
  </r>
  <r>
    <x v="21"/>
    <s v="ZZ0015550"/>
    <n v="69057616"/>
    <s v="maathif"/>
    <s v="Mohammed"/>
    <s v="Aathif"/>
    <s v="AATHIF Mohammed"/>
    <x v="0"/>
    <x v="0"/>
    <x v="3"/>
    <s v="New"/>
    <s v="Ashish"/>
    <x v="12"/>
    <s v="CK"/>
    <n v="1"/>
    <s v="Now the IA for PCC"/>
    <d v="2000-01-01T00:00:00"/>
    <d v="3000-01-01T00:00:00"/>
    <n v="1"/>
    <s v="mohammed.aathif@nokia.com"/>
    <s v="Global CAM"/>
    <s v="In Headcount Internals"/>
  </r>
  <r>
    <x v="35"/>
    <s v="ZZ0015376"/>
    <n v="69057553"/>
    <s v="annamalt"/>
    <s v="Annamalai"/>
    <s v="Thangaraj"/>
    <s v="THANGARAJ Annamalai"/>
    <x v="0"/>
    <x v="0"/>
    <x v="3"/>
    <s v="New"/>
    <s v="Ashish"/>
    <x v="12"/>
    <s v="CK"/>
    <n v="1"/>
    <m/>
    <d v="2000-01-01T00:00:00"/>
    <d v="2018-01-21T00:00:00"/>
    <n v="0"/>
    <s v="annamalai.thangaraj@nokia.com"/>
    <s v="Global CAM"/>
    <s v="In Headcount Internals"/>
  </r>
  <r>
    <x v="25"/>
    <s v="ZZ0015376"/>
    <n v="69057553"/>
    <s v="annamalt"/>
    <s v="Annamalai"/>
    <s v="Thangaraj"/>
    <s v="THANGARAJ Annamalai"/>
    <x v="0"/>
    <x v="0"/>
    <x v="3"/>
    <s v="New"/>
    <s v="Ashish"/>
    <x v="6"/>
    <s v="CK"/>
    <n v="1"/>
    <m/>
    <d v="2018-01-22T00:00:00"/>
    <d v="3000-01-01T00:00:00"/>
    <n v="1"/>
    <s v="annamalai.thangaraj@nokia.com"/>
    <s v="Global CAM"/>
    <s v="In Headcount Internals"/>
  </r>
  <r>
    <x v="4"/>
    <s v="ZZ0015655"/>
    <n v="69057648"/>
    <s v="pgorai"/>
    <s v="Paramita"/>
    <s v="Gorai"/>
    <s v="GORAI Paramita"/>
    <x v="4"/>
    <x v="0"/>
    <x v="3"/>
    <s v="Plug"/>
    <s v="Bineesh"/>
    <x v="2"/>
    <s v="CK"/>
    <n v="1"/>
    <s v="She is back from maternity leave"/>
    <d v="2000-01-01T00:00:00"/>
    <d v="3000-01-01T00:00:00"/>
    <n v="1"/>
    <s v="paramita.gorai@nokia.com"/>
    <s v="Global CAM"/>
    <s v="In Headcount Internals"/>
  </r>
  <r>
    <x v="18"/>
    <s v="FG0002014"/>
    <n v="69038472"/>
    <s v="arulselr"/>
    <s v="Arulselvam"/>
    <s v="Ramalingam"/>
    <s v="RAMALINGAM Arulselvam"/>
    <x v="0"/>
    <x v="0"/>
    <x v="6"/>
    <s v="New"/>
    <s v="Kudallur"/>
    <x v="4"/>
    <s v="CK"/>
    <n v="1"/>
    <m/>
    <d v="2000-01-01T00:00:00"/>
    <d v="3000-01-01T00:00:00"/>
    <n v="1"/>
    <s v="arulselvam.ramalingam@nokia.com"/>
    <s v="Global CAM"/>
    <s v="In Headcount Internals"/>
  </r>
  <r>
    <x v="5"/>
    <s v="CA0109988"/>
    <n v="69058937"/>
    <s v="nishansi"/>
    <s v="Nishant"/>
    <s v="Harihar Singh"/>
    <s v="SINGH Nishant"/>
    <x v="0"/>
    <x v="0"/>
    <x v="3"/>
    <s v="Plug"/>
    <s v="Ashish"/>
    <x v="4"/>
    <s v="CK"/>
    <n v="1"/>
    <m/>
    <d v="2000-01-01T00:00:00"/>
    <d v="3000-01-01T00:00:00"/>
    <n v="1"/>
    <s v="nishant.harihar_singh@nokia.com"/>
    <s v="Global CAM"/>
    <s v="In Headcount Internals"/>
  </r>
  <r>
    <x v="22"/>
    <s v="CA0110747"/>
    <n v="69058939"/>
    <s v="vivekvin"/>
    <s v="Vivek"/>
    <s v="Vishnu Narayanan"/>
    <s v="VISHNU NARAYANAN Vivek"/>
    <x v="0"/>
    <x v="0"/>
    <x v="3"/>
    <s v="New"/>
    <s v="Ashish"/>
    <x v="5"/>
    <s v="CK"/>
    <n v="1"/>
    <s v="Moved on Aug 1, 2016 to PCC Test"/>
    <d v="2000-01-01T00:00:00"/>
    <d v="3000-01-01T00:00:00"/>
    <n v="1"/>
    <s v="vivek.vishnu_narayanan@nokia.com"/>
    <s v="Global CAM"/>
    <s v="In Headcount Internals"/>
  </r>
  <r>
    <x v="19"/>
    <s v="ZZ0009471"/>
    <n v="69062148"/>
    <s v="agowrish"/>
    <s v="Abirami"/>
    <s v="Gowrishankar"/>
    <s v="G Abirami"/>
    <x v="0"/>
    <x v="0"/>
    <x v="6"/>
    <s v="New"/>
    <s v="Kudallur"/>
    <x v="6"/>
    <s v="CK"/>
    <n v="1"/>
    <m/>
    <d v="2000-01-01T00:00:00"/>
    <d v="3000-01-01T00:00:00"/>
    <n v="1"/>
    <s v="abirami.gowrishankar@nokia.com "/>
    <s v="Global CAM"/>
    <s v="In Headcount Internals"/>
  </r>
  <r>
    <x v="1"/>
    <s v="ZZ0011290"/>
    <n v="69056453"/>
    <s v="nikhilgo"/>
    <s v="Nikhil"/>
    <s v="Goel"/>
    <s v="Goel Nikhil"/>
    <x v="4"/>
    <x v="0"/>
    <x v="1"/>
    <s v="NA"/>
    <s v="Krishnakumar"/>
    <x v="1"/>
    <s v="Krishnakumar"/>
    <n v="0.7"/>
    <m/>
    <d v="2000-01-01T00:00:00"/>
    <d v="3000-01-01T00:00:00"/>
    <n v="0.7"/>
    <s v="nikhil.goel@nokia.com"/>
    <s v="System Engineering"/>
    <s v="In Headcount Internals"/>
  </r>
  <r>
    <x v="1"/>
    <s v="ZZ0011290"/>
    <n v="69056453"/>
    <s v="nikhilgo"/>
    <s v="Nikhil"/>
    <s v="Goel"/>
    <s v="Goel Nikhil"/>
    <x v="4"/>
    <x v="0"/>
    <x v="1"/>
    <s v="NA"/>
    <s v="Krishnakumar"/>
    <x v="2"/>
    <s v="Krishnakumar"/>
    <n v="0.3"/>
    <m/>
    <d v="2000-01-01T00:00:00"/>
    <d v="3000-01-01T00:00:00"/>
    <n v="0.3"/>
    <s v="nikhil.goel@nokia.com"/>
    <s v="System Engineering"/>
    <s v="In Headcount Internals"/>
  </r>
  <r>
    <x v="13"/>
    <s v="ZZ0009725"/>
    <n v="69056070"/>
    <s v="vpothura"/>
    <s v="Viswanath"/>
    <s v="Pothuraju"/>
    <s v="POTHURAJU Viswanath"/>
    <x v="0"/>
    <x v="0"/>
    <x v="6"/>
    <s v="Core"/>
    <s v="Kudallur"/>
    <x v="2"/>
    <s v="CK"/>
    <n v="1"/>
    <m/>
    <d v="2000-01-01T00:00:00"/>
    <d v="3000-01-01T00:00:00"/>
    <n v="1"/>
    <s v="viswanath.pothuraju@nokia.com "/>
    <s v="Global CAM"/>
    <s v="In Headcount Internals"/>
  </r>
  <r>
    <x v="15"/>
    <s v="CA0036699"/>
    <n v="69035700"/>
    <s v="prabhasu"/>
    <s v="Prabhakaran"/>
    <s v="Subramanian"/>
    <s v="SUBRAMANIAN Prabhakaran"/>
    <x v="0"/>
    <x v="0"/>
    <x v="6"/>
    <s v="Plug"/>
    <s v="Ashish"/>
    <x v="4"/>
    <s v="CK"/>
    <n v="1"/>
    <m/>
    <d v="2000-01-01T00:00:00"/>
    <d v="3000-01-01T00:00:00"/>
    <n v="1"/>
    <s v="prabhakaran.subramanian@nokia.com"/>
    <s v="Global CAM"/>
    <s v="In Headcount Internals"/>
  </r>
  <r>
    <x v="13"/>
    <s v="ZZ0009548"/>
    <n v="69056027"/>
    <s v="vdayalan"/>
    <s v="Vinoth Kumar"/>
    <s v="Dayalan"/>
    <s v="Vinoth Kumar Dayalan"/>
    <x v="0"/>
    <x v="0"/>
    <x v="6"/>
    <s v="Core"/>
    <s v="Kudallur"/>
    <x v="2"/>
    <s v="CK"/>
    <n v="1"/>
    <m/>
    <d v="2000-01-01T00:00:00"/>
    <d v="3000-01-01T00:00:00"/>
    <n v="1"/>
    <s v="vinoth_kumar.dayalan@nokia.com"/>
    <s v="Global CAM"/>
    <s v="In Headcount Internals"/>
  </r>
  <r>
    <x v="6"/>
    <s v="PA0020540"/>
    <n v="69061183"/>
    <s v="kmanoj"/>
    <s v="Manoj"/>
    <s v="KHOKALE RAJANNA"/>
    <s v="KHOKALE RAJANAA Manoj"/>
    <x v="4"/>
    <x v="0"/>
    <x v="4"/>
    <s v="NA"/>
    <s v="Pulak"/>
    <x v="2"/>
    <s v="Pulak"/>
    <n v="1"/>
    <m/>
    <d v="2000-01-01T00:00:00"/>
    <d v="3000-01-01T00:00:00"/>
    <n v="1"/>
    <s v="manoj.khokale@nokia.com"/>
    <s v="PLM-Rest of World and Business Support"/>
    <s v="In Headcount Internals"/>
  </r>
  <r>
    <x v="16"/>
    <s v="ZZ0010303"/>
    <n v="69056207"/>
    <s v="bhnagara"/>
    <s v="Bharatkumar"/>
    <s v="Nagarajan"/>
    <s v="NAGARAJAN Bharathkumar"/>
    <x v="0"/>
    <x v="0"/>
    <x v="6"/>
    <s v="NA"/>
    <s v="Kudallur"/>
    <x v="13"/>
    <s v="CK"/>
    <n v="1"/>
    <m/>
    <d v="2000-01-01T00:00:00"/>
    <d v="3000-01-01T00:00:00"/>
    <n v="1"/>
    <s v="bharathkumar.nagarajan@nokia.com "/>
    <s v="Global CAM"/>
    <s v="In Headcount Internals"/>
  </r>
  <r>
    <x v="29"/>
    <s v="ZZ0010912"/>
    <n v="69056351"/>
    <s v="sudhanab"/>
    <s v="Sudhananthan"/>
    <s v="Balakrishnan"/>
    <s v="BALAKRISHNAN Sudhananthan"/>
    <x v="0"/>
    <x v="0"/>
    <x v="3"/>
    <s v="Core"/>
    <s v="Ashish"/>
    <x v="13"/>
    <s v="CK"/>
    <n v="1"/>
    <s v="Joined Solution Dev on July 20, 2016"/>
    <d v="2000-01-01T00:00:00"/>
    <d v="3000-01-01T00:00:00"/>
    <n v="1"/>
    <s v="sudhananthan.balakrishnan@nokia.com"/>
    <s v="Global CAM"/>
    <s v="In Headcount Internals"/>
  </r>
  <r>
    <x v="25"/>
    <s v="ZZ0011732"/>
    <n v="69056572"/>
    <s v="cvaradha"/>
    <s v="Charles"/>
    <s v="Varadharaj"/>
    <s v="VARADHARAJ Charles"/>
    <x v="0"/>
    <x v="0"/>
    <x v="3"/>
    <s v="New"/>
    <s v="Kudallur"/>
    <x v="6"/>
    <s v="CK"/>
    <n v="1"/>
    <m/>
    <d v="2000-01-01T00:00:00"/>
    <d v="3000-01-01T00:00:00"/>
    <n v="1"/>
    <s v="charles.varadharaj@nokia.com "/>
    <s v="Global CAM"/>
    <s v="In Headcount Internals"/>
  </r>
  <r>
    <x v="32"/>
    <s v="HZ0155806"/>
    <n v="69040662"/>
    <s v="bhoopalt"/>
    <s v="Bhoopal"/>
    <s v="Thiyaga"/>
    <s v="THIYAGA Bhoopal"/>
    <x v="0"/>
    <x v="0"/>
    <x v="3"/>
    <s v="New"/>
    <s v="Ashish"/>
    <x v="5"/>
    <s v="CK"/>
    <n v="1"/>
    <m/>
    <d v="2000-01-01T00:00:00"/>
    <d v="3000-01-01T00:00:00"/>
    <n v="1"/>
    <s v="bhoopal.thiyaga@nokia.com"/>
    <s v="Global CAM"/>
    <s v="In Headcount Internals"/>
  </r>
  <r>
    <x v="10"/>
    <s v="N62145253"/>
    <n v="62145253"/>
    <s v="bagm"/>
    <s v="Bagavathi Raj"/>
    <s v="M"/>
    <s v="M Bagavathi"/>
    <x v="0"/>
    <x v="0"/>
    <x v="3"/>
    <s v="Core"/>
    <s v="Ashish"/>
    <x v="10"/>
    <s v="CK"/>
    <n v="1"/>
    <m/>
    <d v="2018-03-05T00:00:00"/>
    <d v="3000-01-01T00:00:00"/>
    <n v="1"/>
    <s v="bagavathi.m@nokia.com"/>
    <s v="Global CAM"/>
    <s v="In Headcount Internals"/>
  </r>
  <r>
    <x v="0"/>
    <s v="PA0011480"/>
    <n v="69060703"/>
    <s v="kkumarr"/>
    <s v="KRISHNA KUMAR"/>
    <s v="R"/>
    <s v="Krishna Kumar R"/>
    <x v="4"/>
    <x v="0"/>
    <x v="0"/>
    <s v="New"/>
    <s v="KK"/>
    <x v="0"/>
    <s v="KK"/>
    <n v="1"/>
    <s v="IJOM transfer"/>
    <d v="2000-01-01T00:00:00"/>
    <d v="3000-01-01T00:00:00"/>
    <n v="1"/>
    <s v="krishna_kumar.r@nokia.com"/>
    <s v="557x Emerging Portfolio Group"/>
    <s v="In Headcount Internals"/>
  </r>
  <r>
    <x v="17"/>
    <s v="LLT610677"/>
    <m/>
    <s v="ronaldwa"/>
    <m/>
    <m/>
    <s v="WALKER Ronald"/>
    <x v="3"/>
    <x v="2"/>
    <x v="5"/>
    <s v="NA"/>
    <s v="RonH"/>
    <x v="7"/>
    <s v="CK"/>
    <n v="0.25"/>
    <m/>
    <d v="2000-01-01T00:00:00"/>
    <d v="3000-01-01T00:00:00"/>
    <n v="0.25"/>
    <s v="R.Walker@alcatel-lucent.com"/>
    <m/>
    <s v="Subcontracting"/>
  </r>
  <r>
    <x v="17"/>
    <s v="LLT610677"/>
    <m/>
    <s v="ronaldwa"/>
    <m/>
    <m/>
    <s v="WALKER Ronald"/>
    <x v="3"/>
    <x v="2"/>
    <x v="5"/>
    <s v="NA"/>
    <s v="RonH"/>
    <x v="1"/>
    <s v="CK"/>
    <n v="0.75"/>
    <m/>
    <d v="2000-01-01T00:00:00"/>
    <d v="3000-01-01T00:00:00"/>
    <n v="0.75"/>
    <s v="R.Walker@alcatel-lucent.com"/>
    <m/>
    <s v="Subcontracting"/>
  </r>
  <r>
    <x v="33"/>
    <s v="CA0057947"/>
    <n v="69067862"/>
    <s v="shariffm"/>
    <s v="Shariff Sultan"/>
    <s v="Mohammed"/>
    <s v="MOHAMMED Sherif Sultan"/>
    <x v="0"/>
    <x v="1"/>
    <x v="6"/>
    <s v="Core"/>
    <s v="Kudallur"/>
    <x v="10"/>
    <s v="CK"/>
    <n v="1"/>
    <m/>
    <d v="2000-01-01T00:00:00"/>
    <d v="3000-01-01T00:00:00"/>
    <n v="1"/>
    <s v="shariff_sultan.mohammed.ext@nokia"/>
    <m/>
    <s v="Subcontracting"/>
  </r>
  <r>
    <x v="13"/>
    <s v="CA0222589"/>
    <n v="69114253"/>
    <s v="lgopi"/>
    <s v="Lavanya"/>
    <s v="Gopi"/>
    <s v="Gopi Lavanya"/>
    <x v="4"/>
    <x v="1"/>
    <x v="6"/>
    <s v="Core"/>
    <s v="Bineesh"/>
    <x v="2"/>
    <s v="CK"/>
    <n v="1"/>
    <s v="Replacement for Karunaivel"/>
    <d v="2000-01-01T00:00:00"/>
    <d v="3000-01-01T00:00:00"/>
    <n v="1"/>
    <s v="lavanya.gopi.ext@nokia.com"/>
    <m/>
    <s v="Subcontracting"/>
  </r>
  <r>
    <x v="18"/>
    <s v="AAT018501"/>
    <n v="69065085"/>
    <s v="snsriniv"/>
    <s v="Sridharamoorthy"/>
    <s v="N Srinivasan"/>
    <s v="N SRINIVASAN Sridharamoorthy"/>
    <x v="0"/>
    <x v="1"/>
    <x v="6"/>
    <s v="New"/>
    <s v="Kudallur"/>
    <x v="4"/>
    <s v="CK"/>
    <n v="1"/>
    <s v="Will return back to ANV by Dec 18, 2015"/>
    <d v="2000-01-01T00:00:00"/>
    <d v="3000-01-01T00:00:00"/>
    <n v="1"/>
    <s v="sridharamoorthy.n_srinivasan.ext@nokia.com "/>
    <m/>
    <s v="Subcontracting"/>
  </r>
  <r>
    <x v="34"/>
    <s v="JFT146558"/>
    <n v="69073309"/>
    <s v="dkasaram"/>
    <s v="Deepa"/>
    <s v="Kasaram"/>
    <s v="KASARAM1 Deepa"/>
    <x v="0"/>
    <x v="1"/>
    <x v="6"/>
    <s v="New"/>
    <s v="Kudallur"/>
    <x v="5"/>
    <s v="CK"/>
    <n v="1"/>
    <m/>
    <d v="2000-01-01T00:00:00"/>
    <d v="3000-01-01T00:00:00"/>
    <n v="1"/>
    <s v="deepa.kasaram.ext@nokia.com "/>
    <m/>
    <s v="Subcontracting"/>
  </r>
  <r>
    <x v="14"/>
    <s v="CA0005841"/>
    <n v="69066908"/>
    <s v="vijayasv"/>
    <s v="Vijayasree"/>
    <s v="Vijayan"/>
    <s v="VIJAYAN Vijayasree"/>
    <x v="0"/>
    <x v="1"/>
    <x v="3"/>
    <s v="Plug"/>
    <s v="Kudallur"/>
    <x v="2"/>
    <s v="CK"/>
    <n v="1"/>
    <s v="From Feb 1, 2017"/>
    <d v="2000-01-01T00:00:00"/>
    <d v="3000-01-01T00:00:00"/>
    <n v="1"/>
    <s v="vijayasree.vijayan.ext@nokia.com"/>
    <m/>
    <s v="Subcontracting"/>
  </r>
  <r>
    <x v="13"/>
    <s v="CA0016844"/>
    <n v="69067062"/>
    <s v="bhperuma"/>
    <s v="Bharathi"/>
    <s v="Perumal"/>
    <s v="PERUMAL Bharathi"/>
    <x v="0"/>
    <x v="1"/>
    <x v="6"/>
    <s v="Core"/>
    <s v="Kudallur"/>
    <x v="2"/>
    <s v="CK"/>
    <n v="1"/>
    <m/>
    <d v="2000-01-01T00:00:00"/>
    <d v="3000-01-01T00:00:00"/>
    <n v="1"/>
    <s v="bharathi.perumal.ext@nokia.com "/>
    <m/>
    <s v="Subcontracting"/>
  </r>
  <r>
    <x v="13"/>
    <s v="CA0199067"/>
    <n v="69093124"/>
    <s v="lakshmig"/>
    <s v="Lakshmi Narasimman"/>
    <s v="Ganapathy"/>
    <s v="GANAPATHY Lakshmi Narasimman"/>
    <x v="0"/>
    <x v="1"/>
    <x v="6"/>
    <s v="Core"/>
    <s v="Kudallur"/>
    <x v="2"/>
    <s v="CK"/>
    <n v="1"/>
    <s v="Replacement for Amrithakadeswaran"/>
    <d v="2000-01-01T00:00:00"/>
    <d v="3000-01-01T00:00:00"/>
    <n v="1"/>
    <s v="lakshmi_narasimman.ganapathy.ext@nokia.com"/>
    <m/>
    <s v="Subcontracting"/>
  </r>
  <r>
    <x v="4"/>
    <s v="AAT018515"/>
    <n v="69075610"/>
    <s v="umanohar"/>
    <s v="Uma"/>
    <s v="Manoharan"/>
    <s v="MANOHARAN Uma MAHES"/>
    <x v="0"/>
    <x v="1"/>
    <x v="3"/>
    <s v="Plug"/>
    <s v="Kudallur"/>
    <x v="2"/>
    <s v="CK"/>
    <n v="1"/>
    <s v="AMS Plug Dev team, Works from Tech M office"/>
    <d v="2000-01-01T00:00:00"/>
    <d v="3000-01-01T00:00:00"/>
    <n v="1"/>
    <s v="Umamaheswari.Manoharan@TechMahindra.com"/>
    <m/>
    <s v="Subcontracting"/>
  </r>
  <r>
    <x v="5"/>
    <s v="CA0124761"/>
    <n v="69069341"/>
    <s v="prasankr"/>
    <s v="Prasanth"/>
    <s v="Krishnan"/>
    <s v="KRISHNAN Prasanth"/>
    <x v="0"/>
    <x v="1"/>
    <x v="3"/>
    <s v="Plug"/>
    <s v="Kudallur"/>
    <x v="4"/>
    <s v="CK"/>
    <n v="1"/>
    <m/>
    <d v="2000-01-01T00:00:00"/>
    <d v="3000-01-01T00:00:00"/>
    <n v="1"/>
    <s v="prasanth.krishnan.ext@nokia.com"/>
    <m/>
    <s v="Subcontracting"/>
  </r>
  <r>
    <x v="14"/>
    <s v="CA0163687"/>
    <n v="69071355"/>
    <s v="kgane002"/>
    <s v="Karthik 1"/>
    <s v="Ganesan"/>
    <s v="Karthik Ganesan"/>
    <x v="0"/>
    <x v="1"/>
    <x v="3"/>
    <s v="Plug"/>
    <s v="Kudallur"/>
    <x v="2"/>
    <s v="CK"/>
    <n v="1"/>
    <m/>
    <d v="2000-01-01T00:00:00"/>
    <d v="3000-01-01T00:00:00"/>
    <n v="1"/>
    <s v="karthik.1.ganesan.ext@nokia.com"/>
    <m/>
    <s v="Subcontracting"/>
  </r>
  <r>
    <x v="14"/>
    <s v="CA0036002"/>
    <n v="69076767"/>
    <s v="pchilaka"/>
    <s v="Penchala Reddy"/>
    <s v="Chilakala"/>
    <s v="CHILAKALA Penchala Reddy"/>
    <x v="0"/>
    <x v="1"/>
    <x v="3"/>
    <s v="Plug"/>
    <s v="Kudallur"/>
    <x v="2"/>
    <s v="CK"/>
    <n v="1"/>
    <m/>
    <d v="2000-01-01T00:00:00"/>
    <d v="3000-01-01T00:00:00"/>
    <n v="1"/>
    <s v="penchala_reddy.chilakala.ext@nokia.com "/>
    <m/>
    <s v="Subcontracting"/>
  </r>
  <r>
    <x v="14"/>
    <s v="CA0143425"/>
    <n v="69087546"/>
    <s v="sathiyth"/>
    <s v="Sathiya Sheelan"/>
    <s v="Thangavelu"/>
    <s v="THANGAVELU, Sathiya Sheelan"/>
    <x v="0"/>
    <x v="1"/>
    <x v="3"/>
    <s v="Plug"/>
    <s v="Kudallur"/>
    <x v="2"/>
    <s v="CK"/>
    <n v="1"/>
    <s v="Has replaced Menaka Palani"/>
    <d v="2000-01-01T00:00:00"/>
    <d v="3000-01-01T00:00:00"/>
    <n v="1"/>
    <s v="sathiya_sheelan.thangavelu.ext@nokia.com "/>
    <m/>
    <s v="Subcontracting"/>
  </r>
  <r>
    <x v="13"/>
    <s v="CA0139332"/>
    <n v="69069870"/>
    <s v="basundar"/>
    <s v="Balasubramani"/>
    <s v="Sundar"/>
    <s v="SUNDAR Balasubramani"/>
    <x v="0"/>
    <x v="1"/>
    <x v="6"/>
    <s v="Core"/>
    <s v="Kudallur"/>
    <x v="2"/>
    <s v="CK"/>
    <n v="1"/>
    <m/>
    <d v="2000-01-01T00:00:00"/>
    <d v="2018-03-04T00:00:00"/>
    <n v="0"/>
    <s v="balasubramani.sundar.ext@nokia.com"/>
    <m/>
    <s v="Subcontracting"/>
  </r>
  <r>
    <x v="27"/>
    <s v="CA0139332"/>
    <n v="69069870"/>
    <s v="basundar"/>
    <s v="Balasubramani"/>
    <s v="Sundar"/>
    <s v="SUNDAR Balasubramani"/>
    <x v="0"/>
    <x v="1"/>
    <x v="6"/>
    <s v="Core"/>
    <s v="Kudallur"/>
    <x v="2"/>
    <s v="CK"/>
    <n v="1"/>
    <m/>
    <d v="2018-03-05T00:00:00"/>
    <d v="3000-01-01T00:00:00"/>
    <n v="1"/>
    <s v="balasubramani.sundar.ext@nokia.com"/>
    <m/>
    <s v="Subcontracting"/>
  </r>
  <r>
    <x v="13"/>
    <s v="HZ0203507"/>
    <n v="69073222"/>
    <s v="arsundar"/>
    <s v="Arul"/>
    <s v="Sundaramoorthy"/>
    <s v="Arul Sundaramoorthy"/>
    <x v="0"/>
    <x v="1"/>
    <x v="6"/>
    <s v="Core"/>
    <s v="Kudallur"/>
    <x v="2"/>
    <s v="CK"/>
    <n v="1"/>
    <m/>
    <d v="2000-01-01T00:00:00"/>
    <d v="3000-01-01T00:00:00"/>
    <n v="1"/>
    <s v="arul.sundaramoorthy.ext@nokia.com "/>
    <m/>
    <s v="Subcontracting"/>
  </r>
  <r>
    <x v="25"/>
    <s v="CA0204526"/>
    <n v="69097848"/>
    <s v="vcapodia"/>
    <s v="Vijay Timple"/>
    <s v="Capodia"/>
    <s v="CAPODIA Vijay Timple"/>
    <x v="0"/>
    <x v="1"/>
    <x v="3"/>
    <s v="New"/>
    <s v="Kudallur"/>
    <x v="6"/>
    <s v="CK"/>
    <n v="1"/>
    <s v="She left on 30-Jun-17"/>
    <d v="2000-01-01T00:00:00"/>
    <d v="3000-01-01T00:00:00"/>
    <n v="1"/>
    <s v="vijay_timple.capodia.ext@nokia.com"/>
    <m/>
    <s v="Subcontracting"/>
  </r>
  <r>
    <x v="14"/>
    <s v="CA0208226"/>
    <n v="69100891"/>
    <s v="rajajig"/>
    <s v="Rajaji"/>
    <s v="Ganesan"/>
    <s v="Rajaji Ganesan"/>
    <x v="0"/>
    <x v="1"/>
    <x v="3"/>
    <s v="Plug"/>
    <s v="Kudallur"/>
    <x v="2"/>
    <s v="CK"/>
    <n v="1"/>
    <s v="Has replaced Jebilla"/>
    <d v="2000-01-01T00:00:00"/>
    <d v="2018-03-30T00:00:00"/>
    <n v="1"/>
    <s v="rajaji.ganesan.ext@nokia.com"/>
    <m/>
    <s v="Subcontracting"/>
  </r>
  <r>
    <x v="14"/>
    <s v="CA0208247"/>
    <n v="69100882"/>
    <s v="kolappar"/>
    <s v="Kolappan"/>
    <s v="Ramakrishnan"/>
    <s v="RAMAKRISHNAN Kolappan"/>
    <x v="0"/>
    <x v="1"/>
    <x v="3"/>
    <s v="Plug"/>
    <s v="Kudallur"/>
    <x v="2"/>
    <s v="CK"/>
    <n v="1"/>
    <s v="Has replaced Ganesh Arumugam"/>
    <d v="2000-01-01T00:00:00"/>
    <d v="3000-01-01T00:00:00"/>
    <n v="1"/>
    <s v="kolappan.ramakrishnan.ext@nokia.com"/>
    <m/>
    <s v="Subcontracting"/>
  </r>
  <r>
    <x v="14"/>
    <s v="CA0208227"/>
    <n v="69100874"/>
    <s v="aishwarc"/>
    <s v="Aishwarya"/>
    <s v="Cs"/>
    <s v="CS Aishwarya"/>
    <x v="0"/>
    <x v="1"/>
    <x v="3"/>
    <s v="Plug"/>
    <s v="Kudallur"/>
    <x v="2"/>
    <s v="CK"/>
    <n v="0"/>
    <m/>
    <d v="2000-01-01T00:00:00"/>
    <d v="3000-01-01T00:00:00"/>
    <n v="0"/>
    <s v="aishwarya.cs.ext@nokia.com"/>
    <m/>
    <s v="Subcontracting"/>
  </r>
  <r>
    <x v="14"/>
    <s v="CA0208229"/>
    <n v="69100875"/>
    <s v="agubendr"/>
    <s v="Arul"/>
    <s v="Gubendran"/>
    <s v="GUBENDRAN Arul"/>
    <x v="0"/>
    <x v="1"/>
    <x v="3"/>
    <s v="Plug"/>
    <s v="Kudallur"/>
    <x v="2"/>
    <s v="CK"/>
    <n v="0"/>
    <m/>
    <d v="2000-01-01T00:00:00"/>
    <d v="3000-01-01T00:00:00"/>
    <n v="0"/>
    <s v="arul.gubendran.ext@nokia.com"/>
    <m/>
    <s v="Subcontracting"/>
  </r>
  <r>
    <x v="21"/>
    <s v="CA0209369"/>
    <n v="69101496"/>
    <s v="arunramc"/>
    <s v="Arun Ram"/>
    <s v="Chandrasekaran"/>
    <s v="CHANDRASEKARAN Arun Ram"/>
    <x v="0"/>
    <x v="1"/>
    <x v="3"/>
    <s v="New"/>
    <s v="Kudallur"/>
    <x v="12"/>
    <s v="CK"/>
    <n v="1"/>
    <s v="Replacement for Kannan"/>
    <d v="2000-01-01T00:00:00"/>
    <d v="3000-01-01T00:00:00"/>
    <n v="1"/>
    <s v="arun_ram.chandrasekaran.ext@nokia.com"/>
    <m/>
    <s v="Subcontracting"/>
  </r>
  <r>
    <x v="13"/>
    <s v="CA0187026"/>
    <n v="69085755"/>
    <s v="bmuthura"/>
    <s v="Balakumar"/>
    <s v="Muthuraman"/>
    <s v="MUTHURAMAN Balakumar"/>
    <x v="4"/>
    <x v="1"/>
    <x v="6"/>
    <s v="Core"/>
    <s v="Bineesh"/>
    <x v="2"/>
    <s v="CK"/>
    <n v="1"/>
    <s v="Replacement for Maheswaran"/>
    <d v="2000-01-01T00:00:00"/>
    <d v="3000-01-01T00:00:00"/>
    <n v="1"/>
    <s v="balakumar.muthuraman.ext@nokia.com"/>
    <m/>
    <s v="Subcontracting"/>
  </r>
  <r>
    <x v="11"/>
    <s v="CA0188166"/>
    <n v="69086108"/>
    <s v="vmatle"/>
    <s v="Vikram"/>
    <s v="Matle"/>
    <s v="MATLE Vikram"/>
    <x v="0"/>
    <x v="1"/>
    <x v="5"/>
    <s v="NA"/>
    <s v="SVGK"/>
    <x v="0"/>
    <s v="CK"/>
    <n v="1"/>
    <s v="Replacement for Thirunavakkarasu"/>
    <d v="2000-01-01T00:00:00"/>
    <d v="3000-01-01T00:00:00"/>
    <n v="1"/>
    <s v="vikram.matle.ext@nokia.com"/>
    <m/>
    <s v="Subcontracting"/>
  </r>
  <r>
    <x v="24"/>
    <s v="CA0211326"/>
    <n v="69103025"/>
    <s v="hraghava"/>
    <s v="Hariprasad"/>
    <s v="Raghavan"/>
    <s v="RAGHAVAN Hariprasad"/>
    <x v="0"/>
    <x v="1"/>
    <x v="6"/>
    <s v="Plug"/>
    <s v="Kudallur"/>
    <x v="2"/>
    <s v="CK"/>
    <n v="1"/>
    <s v="Replaces Vijayashree"/>
    <d v="2000-01-01T00:00:00"/>
    <d v="3000-01-01T00:00:00"/>
    <n v="1"/>
    <s v="hariprasad.raghavan.ext@nokia.com"/>
    <m/>
    <s v="Subcontracting"/>
  </r>
  <r>
    <x v="11"/>
    <s v="CA0193945"/>
    <n v="69090439"/>
    <s v="sameenud"/>
    <s v="Syed Imran"/>
    <s v="Ammenudeen"/>
    <s v="AMEENUDEEN Syed Imran"/>
    <x v="0"/>
    <x v="1"/>
    <x v="5"/>
    <s v="NA"/>
    <s v="SVGK"/>
    <x v="0"/>
    <s v="CK"/>
    <n v="0"/>
    <m/>
    <d v="2000-01-01T00:00:00"/>
    <d v="2018-01-26T00:00:00"/>
    <n v="0"/>
    <s v="syed_imran.ameenudeen.ext@nokia.com"/>
    <m/>
    <s v="Subcontracting"/>
  </r>
  <r>
    <x v="11"/>
    <s v="CA0197394"/>
    <n v="69092462"/>
    <s v="sheikmo"/>
    <s v="Sheik"/>
    <s v="Mohammed"/>
    <s v="MOHAMMED Sheik"/>
    <x v="0"/>
    <x v="1"/>
    <x v="5"/>
    <s v="Core"/>
    <s v="SVGK"/>
    <x v="2"/>
    <s v="CK"/>
    <n v="0"/>
    <m/>
    <d v="2000-01-01T00:00:00"/>
    <d v="3000-01-01T00:00:00"/>
    <n v="0"/>
    <s v="sheik.mohammed.ext@nokia.com"/>
    <m/>
    <s v="Subcontracting"/>
  </r>
  <r>
    <x v="24"/>
    <s v="CA0134087"/>
    <n v="69069630"/>
    <s v="jskg"/>
    <s v="John"/>
    <s v="Skg"/>
    <s v="John"/>
    <x v="0"/>
    <x v="1"/>
    <x v="6"/>
    <s v="Plug"/>
    <s v="Kudallur"/>
    <x v="2"/>
    <s v="CK"/>
    <n v="1"/>
    <m/>
    <d v="2000-01-01T00:00:00"/>
    <d v="2018-03-30T00:00:00"/>
    <n v="1"/>
    <s v="john.skg.ext@nokia.com"/>
    <m/>
    <s v="Subcontracting"/>
  </r>
  <r>
    <x v="7"/>
    <s v="CA0230428"/>
    <n v="69130362"/>
    <s v="vmadamal"/>
    <s v="Vijaya Durga"/>
    <s v="Madamala"/>
    <s v="MADAMALA Vijaya Durga"/>
    <x v="4"/>
    <x v="1"/>
    <x v="3"/>
    <s v="New"/>
    <s v="Bineesh"/>
    <x v="6"/>
    <s v="CK"/>
    <n v="1"/>
    <m/>
    <d v="2017-11-06T00:00:00"/>
    <d v="3000-01-01T00:00:00"/>
    <n v="1"/>
    <s v="vijaya_durga.madamala.ext@nokia.com"/>
    <m/>
    <s v="Subcontracting"/>
  </r>
  <r>
    <x v="19"/>
    <s v="CA0225929 "/>
    <n v="69125387"/>
    <s v="bramaiya"/>
    <s v="Balaji"/>
    <s v="Ramaiyan"/>
    <s v="Balaji Ramaiyan"/>
    <x v="0"/>
    <x v="1"/>
    <x v="6"/>
    <s v="New"/>
    <s v="Kudallur"/>
    <x v="6"/>
    <s v="CK"/>
    <n v="0"/>
    <s v="Buffer for now"/>
    <d v="2000-01-01T00:00:00"/>
    <d v="3000-01-01T00:00:00"/>
    <n v="0"/>
    <s v=" balaji.ramaiyan.ext@nokia.com"/>
    <m/>
    <s v="Subcontracting"/>
  </r>
  <r>
    <x v="36"/>
    <s v="PA0018861"/>
    <n v="69050794"/>
    <s v="mpalaval"/>
    <s v="Mukesh Babu"/>
    <s v="Palavalasa"/>
    <s v="PALAVALASA Mukesh"/>
    <x v="2"/>
    <x v="0"/>
    <x v="3"/>
    <s v="New"/>
    <s v="CK"/>
    <x v="6"/>
    <s v="RobDV"/>
    <n v="0.5"/>
    <s v="Platform"/>
    <d v="2000-01-01T00:00:00"/>
    <d v="3000-01-01T00:00:00"/>
    <n v="0.5"/>
    <s v="mukesh.palavalasa@nokia.com"/>
    <s v="Global CAM"/>
    <s v="In Headcount Internals"/>
  </r>
  <r>
    <x v="36"/>
    <s v="PA0018861"/>
    <n v="69050794"/>
    <s v="mpalaval"/>
    <s v="Mukesh Babu"/>
    <s v="Palavalasa"/>
    <s v="PALAVALASA Mukesh"/>
    <x v="2"/>
    <x v="0"/>
    <x v="3"/>
    <s v="New"/>
    <s v="CK"/>
    <x v="4"/>
    <s v="RobDV"/>
    <n v="0.5"/>
    <s v="Platform"/>
    <d v="2000-01-01T00:00:00"/>
    <d v="3000-01-01T00:00:00"/>
    <n v="0.5"/>
    <s v="mukesh.palavalasa@nokia.com"/>
    <s v="Global CAM"/>
    <s v="In Headcount Internals"/>
  </r>
  <r>
    <x v="0"/>
    <s v="CV0008784"/>
    <n v="69107342"/>
    <s v="yingxuez"/>
    <s v="Yingxue"/>
    <s v="ZENG"/>
    <s v="Zeng Yingxue"/>
    <x v="5"/>
    <x v="0"/>
    <x v="0"/>
    <s v="New"/>
    <s v="KK"/>
    <x v="0"/>
    <s v="Chen Jiejun"/>
    <n v="1"/>
    <m/>
    <d v="2000-01-01T00:00:00"/>
    <d v="3000-01-01T00:00:00"/>
    <n v="1"/>
    <s v="yingxue.zeng@nokia-sbell.com"/>
    <s v="NSB"/>
    <s v="In Headcount Internals"/>
  </r>
  <r>
    <x v="37"/>
    <s v="CV0023994"/>
    <n v="69117218"/>
    <s v="dtadavar"/>
    <s v="Deepthi"/>
    <s v="TADAVARTHI"/>
    <s v="TADAVARTHI Deepthi"/>
    <x v="5"/>
    <x v="0"/>
    <x v="6"/>
    <s v="Plug"/>
    <s v="Zeng Yingxue"/>
    <x v="2"/>
    <s v="Zeng Yingxue"/>
    <n v="1"/>
    <s v="TPLUG -xVPS"/>
    <d v="2000-01-01T00:00:00"/>
    <d v="3000-01-01T00:00:00"/>
    <n v="1"/>
    <s v="deepthi.tadavarthi@nokia-sbell.com"/>
    <s v="NSB"/>
    <s v="In Headcount Internals"/>
  </r>
  <r>
    <x v="19"/>
    <s v="CV0023200"/>
    <n v="69110377"/>
    <s v="jialinwa"/>
    <s v="Jialin"/>
    <s v="WANG"/>
    <s v="Wang Jialin"/>
    <x v="5"/>
    <x v="0"/>
    <x v="6"/>
    <s v="New"/>
    <s v="Zeng Yingxue"/>
    <x v="6"/>
    <s v="Zeng Yingxue"/>
    <n v="1"/>
    <s v="IVPS NE Plug"/>
    <d v="2000-01-01T00:00:00"/>
    <d v="3000-01-01T00:00:00"/>
    <n v="1"/>
    <s v="jialin.b.wang@nokia-sbell.com"/>
    <s v="NSB"/>
    <s v="In Headcount Internals"/>
  </r>
  <r>
    <x v="38"/>
    <s v="CV0014333"/>
    <n v="69119353"/>
    <s v="jinzhuqi"/>
    <s v="Jinzhu"/>
    <s v="QIAO"/>
    <s v="Qiao Jinzhu"/>
    <x v="5"/>
    <x v="0"/>
    <x v="6"/>
    <s v="Core"/>
    <s v="Zeng Yingxue"/>
    <x v="2"/>
    <s v="Zeng Yingxue"/>
    <n v="1"/>
    <s v="Base/SA"/>
    <d v="2000-01-01T00:00:00"/>
    <d v="3000-01-01T00:00:00"/>
    <n v="1"/>
    <s v="jinzhu.a.qiao@nokia-sbell.com"/>
    <s v="NSB"/>
    <s v="In Headcount Internals"/>
  </r>
  <r>
    <x v="38"/>
    <s v="CV0016195"/>
    <n v="69117070"/>
    <s v="shousiz "/>
    <s v="shousi"/>
    <s v="ZHANG"/>
    <s v="Zhang Sousi"/>
    <x v="5"/>
    <x v="0"/>
    <x v="6"/>
    <s v="Core"/>
    <s v="Zeng Yingxue"/>
    <x v="2"/>
    <s v="Zeng Yingxue"/>
    <n v="1"/>
    <s v="CTIN/CTFD"/>
    <d v="2000-01-01T00:00:00"/>
    <d v="3000-01-01T00:00:00"/>
    <n v="1"/>
    <s v="shousi.zhang@nokia-sbell.com"/>
    <s v="NSB"/>
    <s v="In Headcount Internals"/>
  </r>
  <r>
    <x v="38"/>
    <s v="CV0026760"/>
    <n v="69119588"/>
    <s v="lwu018"/>
    <s v="Li"/>
    <s v="WU"/>
    <s v="Wu Li"/>
    <x v="5"/>
    <x v="0"/>
    <x v="6"/>
    <s v="Core"/>
    <s v="Zeng Yingxue"/>
    <x v="2"/>
    <s v="Zeng Yingxue"/>
    <n v="1"/>
    <s v="IAS/OAS"/>
    <d v="2000-01-01T00:00:00"/>
    <d v="3000-01-01T00:00:00"/>
    <n v="1"/>
    <s v="li.d.wu@nokia-sbell.com"/>
    <s v="NSB"/>
    <s v="In Headcount Internals"/>
  </r>
  <r>
    <x v="38"/>
    <s v="CV0030431"/>
    <n v="69119666"/>
    <s v="lcsong"/>
    <s v="Lei"/>
    <s v="SONG"/>
    <s v="Song Lei"/>
    <x v="5"/>
    <x v="0"/>
    <x v="6"/>
    <s v="Core"/>
    <s v="Zeng Yingxue"/>
    <x v="2"/>
    <s v="Zeng Yingxue"/>
    <n v="1"/>
    <s v="GBT(BMT)"/>
    <d v="2000-01-01T00:00:00"/>
    <d v="3000-01-01T00:00:00"/>
    <n v="1"/>
    <s v="lei.c.song@nokia-sbell.com"/>
    <s v="NSB"/>
    <s v="In Headcount Internals"/>
  </r>
  <r>
    <x v="38"/>
    <s v="CV0014860"/>
    <n v="69117035"/>
    <s v="junliy"/>
    <s v="Junli"/>
    <s v="YANG"/>
    <s v="Yang Junli"/>
    <x v="5"/>
    <x v="0"/>
    <x v="6"/>
    <s v="Core"/>
    <s v="Zeng Yingxue"/>
    <x v="2"/>
    <s v="Zeng Yingxue"/>
    <n v="1"/>
    <s v="Test leader"/>
    <d v="2000-01-01T00:00:00"/>
    <d v="3000-01-01T00:00:00"/>
    <n v="1"/>
    <s v="Junli.Yang@alcatel-sbell.com.cn"/>
    <s v="NSB"/>
    <s v="In Headcount Internals"/>
  </r>
  <r>
    <x v="39"/>
    <s v="CV0006046"/>
    <n v="69116656"/>
    <s v="gding"/>
    <s v="GUANGFENG"/>
    <s v="DING"/>
    <s v="Ding GuangFeng"/>
    <x v="5"/>
    <x v="0"/>
    <x v="3"/>
    <s v="Core"/>
    <s v="Zeng Yingxue"/>
    <x v="2"/>
    <s v="Zeng Yingxue"/>
    <n v="0.75"/>
    <s v="IA - AMS"/>
    <d v="2000-01-01T00:00:00"/>
    <d v="3000-01-01T00:00:00"/>
    <n v="0.75"/>
    <s v="guangfeng.ding@nokia-sbell.com"/>
    <s v="NSB"/>
    <s v="In Headcount Internals"/>
  </r>
  <r>
    <x v="1"/>
    <s v="CV0006046"/>
    <n v="69116656"/>
    <s v="gding"/>
    <s v="GUANGFENG"/>
    <s v="DING"/>
    <s v="Ding GuangFeng"/>
    <x v="5"/>
    <x v="0"/>
    <x v="1"/>
    <s v="Core"/>
    <s v="Zeng Yingxue"/>
    <x v="2"/>
    <s v="Zeng Yingxue"/>
    <n v="0.25"/>
    <m/>
    <d v="2000-01-01T00:00:00"/>
    <d v="3000-01-01T00:00:00"/>
    <n v="0.25"/>
    <s v="guangfeng.ding@nokia-sbell.com"/>
    <s v="NSB"/>
    <s v="In Headcount Internals"/>
  </r>
  <r>
    <x v="2"/>
    <s v="CV0013142"/>
    <n v="69119330"/>
    <s v="jieoz "/>
    <s v="Jie"/>
    <s v="ZHANG"/>
    <s v="Zhang Jie"/>
    <x v="5"/>
    <x v="0"/>
    <x v="2"/>
    <s v="Core"/>
    <s v="Zeng Yingxue"/>
    <x v="3"/>
    <s v="Zeng Yingxue"/>
    <n v="1"/>
    <m/>
    <d v="2000-01-01T00:00:00"/>
    <d v="3000-01-01T00:00:00"/>
    <n v="1"/>
    <s v="jie.o.zhang@nokia-sbell.com"/>
    <s v="NSB"/>
    <s v="In Headcount Internals"/>
  </r>
  <r>
    <x v="39"/>
    <s v="CV0013998"/>
    <n v="69117012"/>
    <s v="yingjiey"/>
    <s v="Yingjie"/>
    <s v="YUE"/>
    <s v="Yue YingJie"/>
    <x v="5"/>
    <x v="0"/>
    <x v="3"/>
    <s v="Core"/>
    <s v="Zeng Yingxue"/>
    <x v="2"/>
    <s v="Zeng Yingxue"/>
    <n v="1"/>
    <s v="SA"/>
    <d v="2000-01-01T00:00:00"/>
    <d v="3000-01-01T00:00:00"/>
    <n v="1"/>
    <s v="yingjie.yue@nokia-sbell.com"/>
    <s v="NSB"/>
    <s v="In Headcount Internals"/>
  </r>
  <r>
    <x v="39"/>
    <s v="CV0013846"/>
    <n v="69119339"/>
    <s v="lli021"/>
    <s v="Lei"/>
    <s v="LI"/>
    <s v="Li Lei"/>
    <x v="5"/>
    <x v="0"/>
    <x v="3"/>
    <s v="Core"/>
    <s v="Zeng Yingxue"/>
    <x v="2"/>
    <s v="Zeng Yingxue"/>
    <n v="1"/>
    <s v="CTIN&amp;CTFD&amp;BMT"/>
    <d v="2000-01-01T00:00:00"/>
    <d v="3000-01-01T00:00:00"/>
    <n v="1"/>
    <s v="lei.i.li@nokia-sbell.com"/>
    <s v="NSB"/>
    <s v="In Headcount Internals"/>
  </r>
  <r>
    <x v="7"/>
    <s v="CV0034722"/>
    <n v="69119751"/>
    <s v="wli049"/>
    <s v="Wei"/>
    <s v="LI"/>
    <s v="Li Wei"/>
    <x v="5"/>
    <x v="0"/>
    <x v="3"/>
    <s v="New"/>
    <s v="Zeng Yingxue"/>
    <x v="6"/>
    <s v="Zeng Yingxue"/>
    <n v="0.5"/>
    <m/>
    <d v="2000-01-01T00:00:00"/>
    <d v="3000-01-01T00:00:00"/>
    <n v="0.5"/>
    <s v="wei.av.li@nokia-sbell.com"/>
    <s v="NSB"/>
    <s v="In Headcount Internals"/>
  </r>
  <r>
    <x v="39"/>
    <s v="CV0034722"/>
    <n v="69119751"/>
    <s v="wli049"/>
    <s v="Wei"/>
    <s v="LI"/>
    <s v="Li Wei"/>
    <x v="5"/>
    <x v="0"/>
    <x v="3"/>
    <s v="Core"/>
    <s v="Zeng Yingxue"/>
    <x v="2"/>
    <s v="Zeng Yingxue"/>
    <n v="0.5"/>
    <m/>
    <d v="2000-01-01T00:00:00"/>
    <d v="3000-01-01T00:00:00"/>
    <n v="0.5"/>
    <s v="wei.av.li@nokia-sbell.com"/>
    <s v="NSB"/>
    <s v="In Headcount Internals"/>
  </r>
  <r>
    <x v="7"/>
    <s v="CV0023528"/>
    <n v="69117208"/>
    <s v="jiangboy"/>
    <s v="Jiangbo"/>
    <s v="YU"/>
    <s v="Yu Jiangbo"/>
    <x v="5"/>
    <x v="0"/>
    <x v="3"/>
    <s v="New"/>
    <s v="Zeng Yingxue"/>
    <x v="6"/>
    <s v="Zeng Yingxue"/>
    <n v="1"/>
    <m/>
    <d v="2000-01-01T00:00:00"/>
    <d v="3000-01-01T00:00:00"/>
    <n v="1"/>
    <s v="jiangbo.yu@nokia-sbell.com"/>
    <s v="NSB"/>
    <s v="In Headcount Internals"/>
  </r>
  <r>
    <x v="39"/>
    <s v="CVT886361"/>
    <n v="69118789"/>
    <s v="ganghu"/>
    <s v="Gang"/>
    <s v="HU"/>
    <s v="Hu Gang"/>
    <x v="5"/>
    <x v="0"/>
    <x v="3"/>
    <s v="Core"/>
    <s v="Zeng Yingxue"/>
    <x v="2"/>
    <s v="Zeng Yingxue"/>
    <n v="1"/>
    <s v="Alarm &amp; Refractory"/>
    <d v="2000-01-01T00:00:00"/>
    <d v="3000-01-01T00:00:00"/>
    <n v="1"/>
    <s v="gang.a.hu@nokia-sbell.com"/>
    <s v="NSB"/>
    <s v="In Headcount Internals"/>
  </r>
  <r>
    <x v="40"/>
    <s v="CV0014773"/>
    <n v="69119364"/>
    <s v="zhenac"/>
    <s v="Zhen"/>
    <s v="CHEN"/>
    <s v="Chen Zhen(Lens)"/>
    <x v="5"/>
    <x v="0"/>
    <x v="3"/>
    <s v="New"/>
    <s v="Zeng Yingxue"/>
    <x v="6"/>
    <s v="Zeng Yingxue"/>
    <n v="0.75"/>
    <s v="IA"/>
    <d v="2000-01-01T00:00:00"/>
    <d v="3000-01-01T00:00:00"/>
    <n v="0.75"/>
    <s v="zhen.a.chen@nokia-sbell.com"/>
    <s v="NSB"/>
    <s v="In Headcount Internals"/>
  </r>
  <r>
    <x v="9"/>
    <s v="CV0014773"/>
    <n v="69119364"/>
    <s v="zhenac"/>
    <s v="Zhen"/>
    <s v="CHEN"/>
    <s v="Chen Zhen(Lens)"/>
    <x v="5"/>
    <x v="0"/>
    <x v="7"/>
    <s v="New"/>
    <s v="Zeng Yingxue"/>
    <x v="1"/>
    <s v="Zeng Yingxue"/>
    <n v="0.25"/>
    <s v="CAM"/>
    <d v="2000-01-01T00:00:00"/>
    <d v="3000-01-01T00:00:00"/>
    <n v="0.25"/>
    <s v="zhen.a.chen@nokia-sbell.com"/>
    <s v="NSB"/>
    <s v="In Headcount Internals"/>
  </r>
  <r>
    <x v="7"/>
    <s v="CV0039475"/>
    <n v="69119909"/>
    <s v="lye007 "/>
    <s v="Li"/>
    <s v="YE"/>
    <s v="Ye Li"/>
    <x v="5"/>
    <x v="0"/>
    <x v="3"/>
    <s v="New"/>
    <s v="Zeng Yingxue"/>
    <x v="6"/>
    <s v="Zeng Yingxue"/>
    <n v="1"/>
    <m/>
    <d v="2000-01-01T00:00:00"/>
    <d v="3000-01-01T00:00:00"/>
    <n v="1"/>
    <s v="li.ye@nokia-sbell.com"/>
    <s v="NSB"/>
    <s v="In Headcount Internals"/>
  </r>
  <r>
    <x v="39"/>
    <s v="CV0015674"/>
    <n v="69117055"/>
    <s v="kaixuans"/>
    <s v="Kaixuan"/>
    <s v="SHI"/>
    <s v="Shi Kaixuan"/>
    <x v="5"/>
    <x v="0"/>
    <x v="3"/>
    <s v="Core"/>
    <s v="Zeng Yingxue"/>
    <x v="2"/>
    <s v="Zeng Yingxue"/>
    <n v="1"/>
    <s v="BMT"/>
    <d v="2000-01-01T00:00:00"/>
    <d v="3000-01-01T00:00:00"/>
    <n v="1"/>
    <s v="kaixuan.shi@nokia-sbell.com"/>
    <s v="NSB"/>
    <s v="In Headcount Internals"/>
  </r>
  <r>
    <x v="7"/>
    <s v="CV0036689"/>
    <n v="69117519"/>
    <s v="yuejunzh"/>
    <s v="Yuejun"/>
    <s v="ZHU"/>
    <s v="Zhu Yuejun"/>
    <x v="5"/>
    <x v="0"/>
    <x v="3"/>
    <s v="New"/>
    <s v="Zeng Yingxue"/>
    <x v="6"/>
    <s v="Zeng Yingxue"/>
    <n v="1"/>
    <s v="DPLUG -DOCSIS"/>
    <d v="2000-01-01T00:00:00"/>
    <d v="3000-01-01T00:00:00"/>
    <n v="1"/>
    <s v="yuejun.zhu@nokia-sbell.com"/>
    <s v="NSB"/>
    <s v="In Headcount Internals"/>
  </r>
  <r>
    <x v="7"/>
    <s v="CV0038927"/>
    <n v="69119882"/>
    <s v="congcocz"/>
    <s v="Congcong"/>
    <s v="ZHANG"/>
    <s v="Zhang Congcong"/>
    <x v="5"/>
    <x v="0"/>
    <x v="3"/>
    <s v="New"/>
    <s v="Zeng Yingxue"/>
    <x v="6"/>
    <s v="Zeng Yingxue"/>
    <n v="1"/>
    <m/>
    <d v="2000-01-01T00:00:00"/>
    <d v="3000-01-01T00:00:00"/>
    <n v="1"/>
    <s v="congcong.c.zhang@nokia-sbell.com"/>
    <s v="NSB"/>
    <s v="In Headcount Internals"/>
  </r>
  <r>
    <x v="7"/>
    <s v="CV0013858"/>
    <n v="69119341"/>
    <s v="jiegc"/>
    <s v="Jie"/>
    <s v="CHEN"/>
    <s v="Chen Jie"/>
    <x v="5"/>
    <x v="0"/>
    <x v="3"/>
    <s v="New"/>
    <s v="Zeng Yingxue"/>
    <x v="6"/>
    <s v="Zeng Yingxue"/>
    <n v="1"/>
    <m/>
    <d v="2000-01-01T00:00:00"/>
    <d v="3000-01-01T00:00:00"/>
    <n v="1"/>
    <s v="jie.g.chen@nokia-sbell.com"/>
    <s v="NSB"/>
    <s v="In Headcount Internals"/>
  </r>
  <r>
    <x v="7"/>
    <s v="CV0031378"/>
    <n v="69117359"/>
    <s v="shaoboq"/>
    <s v="Shaobo"/>
    <s v="QIAO"/>
    <s v="Qiao Shaobo"/>
    <x v="5"/>
    <x v="0"/>
    <x v="3"/>
    <s v="New"/>
    <s v="Zeng Yingxue"/>
    <x v="6"/>
    <s v="Zeng Yingxue"/>
    <n v="1"/>
    <m/>
    <d v="2000-01-01T00:00:00"/>
    <d v="2018-01-31T00:00:00"/>
    <n v="0"/>
    <s v="shaobo.qiao@nokia-sbell.com"/>
    <s v="NSB"/>
    <s v="In Headcount Internals"/>
  </r>
  <r>
    <x v="7"/>
    <s v="CV0031378"/>
    <n v="69117359"/>
    <s v="shaoboq"/>
    <s v="Shaobo"/>
    <s v="QIAO"/>
    <s v="Qiao Shaobo"/>
    <x v="5"/>
    <x v="0"/>
    <x v="3"/>
    <s v="New"/>
    <s v="Zeng Yingxue"/>
    <x v="6"/>
    <s v="Zeng Yingxue"/>
    <n v="1"/>
    <m/>
    <d v="2018-02-01T00:00:00"/>
    <d v="3000-01-01T00:00:00"/>
    <n v="1"/>
    <s v="shaobo.qiao@nokia-sbell.com"/>
    <s v="NSB"/>
    <s v="In Headcount Internals"/>
  </r>
  <r>
    <x v="41"/>
    <s v="CV0072435"/>
    <n v="69117969"/>
    <s v="hongshz"/>
    <s v="Hongsheng"/>
    <s v="ZHANG"/>
    <s v="Zhang Hongsheng"/>
    <x v="5"/>
    <x v="0"/>
    <x v="8"/>
    <s v="NA"/>
    <s v="Zeng Yingxue"/>
    <x v="3"/>
    <s v="Zeng Yingxue"/>
    <n v="0.5"/>
    <m/>
    <d v="2000-01-01T00:00:00"/>
    <d v="3000-01-01T00:00:00"/>
    <n v="0.5"/>
    <s v="hongsheng.zhang@nokia-sbell.com"/>
    <s v="NSB"/>
    <s v="In Headcount Internals"/>
  </r>
  <r>
    <x v="38"/>
    <s v="CV0072435"/>
    <n v="69117969"/>
    <s v="hongshz"/>
    <s v="Hongsheng"/>
    <s v="ZHANG"/>
    <s v="Zhang Hongsheng"/>
    <x v="5"/>
    <x v="0"/>
    <x v="6"/>
    <s v="Core"/>
    <s v="Zeng Yingxue"/>
    <x v="2"/>
    <s v="Zeng Yingxue"/>
    <n v="0.5"/>
    <m/>
    <d v="2000-01-01T00:00:00"/>
    <d v="3000-01-01T00:00:00"/>
    <n v="0.5"/>
    <s v="hongsheng.zhang@nokia-sbell.com"/>
    <s v="NSB"/>
    <s v="In Headcount Internals"/>
  </r>
  <r>
    <x v="1"/>
    <s v="CV0016091"/>
    <n v="69117068"/>
    <s v="zhiminxi"/>
    <s v="Zhimin"/>
    <s v="XIE"/>
    <s v="Xie Zhiming"/>
    <x v="5"/>
    <x v="0"/>
    <x v="1"/>
    <s v="NA"/>
    <s v="Zeng Yingxue"/>
    <x v="2"/>
    <s v="Zeng Yingxue"/>
    <n v="1"/>
    <m/>
    <d v="2000-01-01T00:00:00"/>
    <d v="2018-02-28T00:00:00"/>
    <n v="0"/>
    <s v="zhimin.xie@nokia-sbell.com"/>
    <s v="NSB"/>
    <s v="In Headcount Internals"/>
  </r>
  <r>
    <x v="37"/>
    <s v="CV0040794"/>
    <n v="69117751"/>
    <s v="cmi"/>
    <s v="Chun"/>
    <s v="MI"/>
    <s v="Mi Chun"/>
    <x v="5"/>
    <x v="0"/>
    <x v="6"/>
    <s v="Plug"/>
    <s v="Zeng Yingxue"/>
    <x v="2"/>
    <s v="Zeng Yingxue"/>
    <n v="1"/>
    <s v="TPLUG- DOCSIS"/>
    <d v="2000-01-01T00:00:00"/>
    <d v="3000-01-01T00:00:00"/>
    <n v="1"/>
    <s v="chun.mi@nokia-sbell.com"/>
    <s v="NSB"/>
    <s v="In Headcount Internals"/>
  </r>
  <r>
    <x v="6"/>
    <s v="CV0001727"/>
    <n v="69110375"/>
    <s v="jundek"/>
    <s v="JUNDE"/>
    <s v="KE"/>
    <s v="Ke Junde"/>
    <x v="5"/>
    <x v="0"/>
    <x v="4"/>
    <s v="NA"/>
    <s v="RonH"/>
    <x v="2"/>
    <s v="Qian zhihong"/>
    <n v="1"/>
    <s v="Does not report to Yingxue"/>
    <d v="2000-01-01T00:00:00"/>
    <d v="3000-01-01T00:00:00"/>
    <n v="1"/>
    <s v="junde.ke@nokia-sbell.com"/>
    <s v="NSB PLM"/>
    <s v="In Headcount Internals"/>
  </r>
  <r>
    <x v="39"/>
    <s v="CV0041400"/>
    <n v="69117848"/>
    <s v="taoc"/>
    <s v="Tao"/>
    <s v="CAI"/>
    <s v="Cai Tao"/>
    <x v="5"/>
    <x v="0"/>
    <x v="3"/>
    <s v="Core"/>
    <s v="Zeng Yingxue"/>
    <x v="2"/>
    <s v="Zeng Yingxue"/>
    <n v="1"/>
    <s v="Integration &amp; Configuration"/>
    <d v="2000-01-01T00:00:00"/>
    <d v="3000-01-01T00:00:00"/>
    <n v="1"/>
    <s v="tao.cai@nokia-sbell.com"/>
    <s v="NSB"/>
    <s v="In Headcount Internals"/>
  </r>
  <r>
    <x v="42"/>
    <s v="CV0039176"/>
    <n v="69119894"/>
    <s v="xiongbz"/>
    <s v="Xiong"/>
    <s v="ZHANG"/>
    <s v="Zhang Xiong"/>
    <x v="5"/>
    <x v="0"/>
    <x v="3"/>
    <s v="Plug"/>
    <s v="Zeng Yingxue"/>
    <x v="2"/>
    <s v="Zeng Yingxue"/>
    <n v="1"/>
    <s v="DPLUG - xVPS"/>
    <d v="2000-01-01T00:00:00"/>
    <d v="2018-02-26T00:00:00"/>
    <n v="0"/>
    <s v="xiong.b.zhang@nokia-sbell.com"/>
    <s v="NSB"/>
    <s v="In Headcount Internals"/>
  </r>
  <r>
    <x v="39"/>
    <s v="CV0039176"/>
    <n v="69119894"/>
    <s v="xiongbz"/>
    <s v="Xiong"/>
    <s v="ZHANG"/>
    <s v="Zhang Xiong"/>
    <x v="5"/>
    <x v="0"/>
    <x v="3"/>
    <s v="Core"/>
    <s v="Zeng Yingxue"/>
    <x v="2"/>
    <s v="Zeng Yingxue"/>
    <n v="1"/>
    <s v="DPLUG - xVPS"/>
    <d v="2018-02-27T00:00:00"/>
    <d v="3000-01-01T00:00:00"/>
    <n v="1"/>
    <s v="xiong.b.zhang@nokia-sbell.com"/>
    <s v="NSB"/>
    <s v="In Headcount Internals"/>
  </r>
  <r>
    <x v="39"/>
    <s v="CV0041745"/>
    <n v="69121270"/>
    <s v="junjiez"/>
    <s v="Junjie"/>
    <s v="Zeng"/>
    <s v="ZENG Junjie"/>
    <x v="5"/>
    <x v="3"/>
    <x v="3"/>
    <s v="Core"/>
    <s v="Zeng Yingxue"/>
    <x v="2"/>
    <s v="Zeng Yingxue"/>
    <n v="1"/>
    <s v="subco"/>
    <d v="2000-01-01T00:00:00"/>
    <d v="3000-01-01T00:00:00"/>
    <n v="1"/>
    <s v="junjie.1.zeng.ext@nokia-sbell.com"/>
    <s v="NSB Subco"/>
    <s v="Subcontracting"/>
  </r>
  <r>
    <x v="39"/>
    <s v="CV0042010"/>
    <s v="69121345"/>
    <s v="tingl"/>
    <s v="Ting "/>
    <s v="Liu"/>
    <s v="Liu Ting"/>
    <x v="5"/>
    <x v="3"/>
    <x v="3"/>
    <s v="New"/>
    <s v="Zeng Yingxue"/>
    <x v="2"/>
    <s v="Zeng Yingxue"/>
    <n v="1"/>
    <s v="subco"/>
    <d v="2000-01-01T00:00:00"/>
    <d v="3000-01-01T00:00:00"/>
    <n v="1"/>
    <s v="ting.3.liu.ext@nokia-sbell.com"/>
    <s v="NSB Subco"/>
    <s v="Subcontracting"/>
  </r>
  <r>
    <x v="39"/>
    <s v="CV0042130"/>
    <s v="69121373"/>
    <s v="xiaos"/>
    <s v="Xiao"/>
    <s v="Sun"/>
    <s v="Sun Xiao"/>
    <x v="5"/>
    <x v="3"/>
    <x v="3"/>
    <s v="New"/>
    <s v="Zeng Yingxue"/>
    <x v="2"/>
    <s v="Zeng Yingxue"/>
    <n v="1"/>
    <s v="subco"/>
    <d v="2000-01-01T00:00:00"/>
    <d v="3000-01-01T00:00:00"/>
    <n v="1"/>
    <s v="xiao.sun.ext@nokia-sbell.com"/>
    <s v="NSB Subco"/>
    <s v="Subcontracting"/>
  </r>
  <r>
    <x v="39"/>
    <s v="CV0042239"/>
    <s v="69125300"/>
    <s v="linsenq"/>
    <s v="Linsen"/>
    <s v="Qin"/>
    <s v="Qin Linsen"/>
    <x v="5"/>
    <x v="3"/>
    <x v="3"/>
    <s v="New"/>
    <s v="Zeng Yingxue"/>
    <x v="2"/>
    <s v="Zeng Yingxue"/>
    <n v="1"/>
    <s v="subco"/>
    <d v="2000-01-01T00:00:00"/>
    <d v="3000-01-01T00:00:00"/>
    <n v="1"/>
    <s v="linsen.qin.ext@nokia-sbell.com"/>
    <s v="NSB Subco"/>
    <s v="Subcontracting"/>
  </r>
  <r>
    <x v="39"/>
    <s v="CV0042242"/>
    <s v="69121319"/>
    <s v="yich"/>
    <s v="Yi"/>
    <s v="Chen"/>
    <s v="Chen Yi"/>
    <x v="5"/>
    <x v="3"/>
    <x v="3"/>
    <s v="New"/>
    <s v="Zeng Yingxue"/>
    <x v="2"/>
    <s v="Zeng Yingxue"/>
    <n v="1"/>
    <s v="subco"/>
    <d v="2000-01-01T00:00:00"/>
    <d v="3000-01-01T00:00:00"/>
    <n v="1"/>
    <s v="yi.1.chen.ext@nokia-sbell.com"/>
    <s v="NSB Subco"/>
    <s v="Subcontracting"/>
  </r>
  <r>
    <x v="43"/>
    <s v="CA0140929"/>
    <n v="69078549"/>
    <s v="dhoangdu"/>
    <s v="Duc"/>
    <s v="Pham"/>
    <s v="HOANG DUY PHAM Duc"/>
    <x v="6"/>
    <x v="4"/>
    <x v="3"/>
    <s v="Core"/>
    <s v="The"/>
    <x v="2"/>
    <s v="The"/>
    <n v="1"/>
    <s v="Alarms"/>
    <d v="2014-09-02T00:00:00"/>
    <d v="2018-03-04T00:00:00"/>
    <n v="0"/>
    <s v="phdduc@tma.com.vn"/>
    <m/>
    <s v="Subcontracting"/>
  </r>
  <r>
    <x v="10"/>
    <s v="CA0140929"/>
    <n v="69078549"/>
    <s v="dhoangdu"/>
    <s v="Duc"/>
    <s v="Pham"/>
    <s v="HOANG DUY PHAM Duc"/>
    <x v="6"/>
    <x v="4"/>
    <x v="3"/>
    <s v="Core"/>
    <s v="The"/>
    <x v="10"/>
    <s v="The"/>
    <n v="1"/>
    <s v="Alarms"/>
    <d v="2018-03-05T00:00:00"/>
    <d v="3000-01-01T00:00:00"/>
    <n v="1"/>
    <s v="phdduc@tma.com.vn"/>
    <m/>
    <s v="Subcontracting"/>
  </r>
  <r>
    <x v="44"/>
    <s v="CA0145992"/>
    <n v="69078806"/>
    <s v="nhoangng"/>
    <s v="Nhan"/>
    <s v="Nguyen"/>
    <s v="HOANG NGUYEN Nhan"/>
    <x v="6"/>
    <x v="4"/>
    <x v="3"/>
    <s v="New"/>
    <s v="The"/>
    <x v="12"/>
    <s v="The"/>
    <n v="0"/>
    <s v="NG"/>
    <d v="2014-10-31T00:00:00"/>
    <d v="2018-01-22T00:00:00"/>
    <n v="0"/>
    <s v="nhoangnhan@tma.com.vn"/>
    <m/>
    <s v="Subcontracting"/>
  </r>
  <r>
    <x v="34"/>
    <m/>
    <m/>
    <s v="kdangpha"/>
    <s v="Khoa"/>
    <s v="Dang Pham"/>
    <s v="PHAM DANG Khoa"/>
    <x v="6"/>
    <x v="4"/>
    <x v="6"/>
    <s v="New"/>
    <s v="The"/>
    <x v="5"/>
    <s v="The"/>
    <n v="1"/>
    <m/>
    <d v="2018-01-22T00:00:00"/>
    <d v="3000-01-01T00:00:00"/>
    <n v="1"/>
    <s v="khoa.dang_pham.ext@nokia.com"/>
    <m/>
    <s v="Subcontracting"/>
  </r>
  <r>
    <x v="21"/>
    <s v="CA0213426"/>
    <n v="69105511"/>
    <s v="tkimle"/>
    <s v="Thinh"/>
    <s v="Le"/>
    <s v="THINH KIM Le"/>
    <x v="6"/>
    <x v="4"/>
    <x v="3"/>
    <s v="New"/>
    <s v="The"/>
    <x v="12"/>
    <s v="The"/>
    <n v="1"/>
    <m/>
    <d v="2014-10-31T00:00:00"/>
    <d v="3000-01-01T00:00:00"/>
    <n v="1"/>
    <s v="nhoangnhan@tma.com.vn"/>
    <m/>
    <s v="Subcontracting"/>
  </r>
  <r>
    <x v="45"/>
    <s v="AAT017554"/>
    <n v="69075603"/>
    <s v="chungd"/>
    <s v="Chung"/>
    <s v="Dao"/>
    <s v="DAO Chung THANH"/>
    <x v="6"/>
    <x v="4"/>
    <x v="3"/>
    <s v="Core"/>
    <s v="The"/>
    <x v="7"/>
    <s v="The"/>
    <n v="1"/>
    <s v="APC core dev"/>
    <d v="2009-09-03T00:00:00"/>
    <d v="3000-01-01T00:00:00"/>
    <n v="1"/>
    <s v="dtchung@tma.com.vn"/>
    <m/>
    <s v="Subcontracting"/>
  </r>
  <r>
    <x v="45"/>
    <s v="CA0214094"/>
    <n v="69106087"/>
    <s v="hvankhuu"/>
    <s v="Hien"/>
    <s v="Khuu"/>
    <s v="VAN KHUU Hien"/>
    <x v="6"/>
    <x v="4"/>
    <x v="3"/>
    <s v="Core"/>
    <s v="The"/>
    <x v="7"/>
    <s v="The"/>
    <n v="1"/>
    <s v="APC core dev"/>
    <d v="2017-03-17T00:00:00"/>
    <d v="3000-01-01T00:00:00"/>
    <n v="1"/>
    <s v="kvhien@tma.com.vn"/>
    <m/>
    <s v="Subcontracting"/>
  </r>
  <r>
    <x v="46"/>
    <s v="CA0172527"/>
    <n v="69080093"/>
    <s v="tthithup"/>
    <s v="Trang"/>
    <s v="Phan"/>
    <s v="THI THU PHAN Trang"/>
    <x v="6"/>
    <x v="4"/>
    <x v="3"/>
    <s v="New"/>
    <s v="The"/>
    <x v="4"/>
    <s v="The"/>
    <n v="1"/>
    <s v="APC core dev, will move to NAC dev on Dec 1, 2017"/>
    <d v="2016-01-29T00:00:00"/>
    <d v="3000-01-01T00:00:00"/>
    <n v="1"/>
    <s v="ptttrang@tma.com.vn"/>
    <m/>
    <s v="Subcontracting"/>
  </r>
  <r>
    <x v="45"/>
    <s v="CA0054868"/>
    <n v="69077014"/>
    <s v="tducnguy"/>
    <s v="Trung"/>
    <s v="Nguyen"/>
    <s v="DUC NGUYEN Trung"/>
    <x v="6"/>
    <x v="4"/>
    <x v="3"/>
    <s v="Core"/>
    <s v="The"/>
    <x v="7"/>
    <s v="The"/>
    <n v="1"/>
    <s v="APC core dev"/>
    <d v="2012-04-18T00:00:00"/>
    <d v="2018-04-09T00:00:00"/>
    <n v="1"/>
    <s v="nductrung@tma.com.vn"/>
    <m/>
    <s v="Subcontracting"/>
  </r>
  <r>
    <x v="45"/>
    <m/>
    <n v="69134525"/>
    <s v="qtranngo"/>
    <s v="Qui"/>
    <s v="Tran Ngoc"/>
    <s v="TRAN NGOC QUI"/>
    <x v="6"/>
    <x v="4"/>
    <x v="3"/>
    <s v="Core"/>
    <s v="The"/>
    <x v="7"/>
    <s v="The"/>
    <n v="1"/>
    <s v="APC core dev"/>
    <d v="2018-04-10T00:00:00"/>
    <d v="3000-01-01T00:00:00"/>
    <n v="0"/>
    <s v="nductrung@tma.com.vn"/>
    <m/>
    <s v="Subcontracting"/>
  </r>
  <r>
    <x v="45"/>
    <s v="CA0036973"/>
    <n v="69076780"/>
    <s v="tvando"/>
    <s v="Toan"/>
    <s v="Do"/>
    <s v="VAN DO Toan"/>
    <x v="6"/>
    <x v="4"/>
    <x v="3"/>
    <s v="Core"/>
    <s v="The"/>
    <x v="7"/>
    <s v="The"/>
    <n v="1"/>
    <s v="APC core dev"/>
    <d v="2011-08-18T00:00:00"/>
    <d v="2018-03-04T00:00:00"/>
    <n v="0"/>
    <s v="dvtoan@tma.com.vn"/>
    <m/>
    <s v="Subcontracting"/>
  </r>
  <r>
    <x v="47"/>
    <s v="CA0036973"/>
    <n v="69076780"/>
    <s v="tvando"/>
    <s v="Toan"/>
    <s v="Do"/>
    <s v="VAN DO Toan"/>
    <x v="6"/>
    <x v="4"/>
    <x v="3"/>
    <s v="New"/>
    <s v="The"/>
    <x v="4"/>
    <s v="The"/>
    <n v="1"/>
    <m/>
    <d v="2018-03-05T00:00:00"/>
    <d v="3000-01-01T00:00:00"/>
    <n v="1"/>
    <s v="dvtoan@tma.com.vn"/>
    <m/>
    <s v="Subcontracting"/>
  </r>
  <r>
    <x v="48"/>
    <s v="CA0167809"/>
    <n v="69079847"/>
    <s v="vhoangqu"/>
    <s v="Viet"/>
    <s v="Pham"/>
    <s v="Viet HOANG QUOC PHAM"/>
    <x v="6"/>
    <x v="4"/>
    <x v="3"/>
    <s v="New"/>
    <s v="The"/>
    <x v="6"/>
    <s v="The"/>
    <n v="1"/>
    <s v="APC plug dev"/>
    <d v="2015-07-14T00:00:00"/>
    <d v="3000-01-01T00:00:00"/>
    <n v="1"/>
    <s v="phqviet@tma.com.vn"/>
    <m/>
    <s v="Subcontracting"/>
  </r>
  <r>
    <x v="49"/>
    <s v="CA0043063"/>
    <n v="69076874"/>
    <s v="sthanhho"/>
    <s v="Son"/>
    <s v="Hoang"/>
    <s v="THANH HOANG Son"/>
    <x v="6"/>
    <x v="4"/>
    <x v="3"/>
    <s v="Plug"/>
    <s v="The"/>
    <x v="7"/>
    <s v="The"/>
    <n v="1"/>
    <s v="APC plug dev"/>
    <d v="2011-12-01T00:00:00"/>
    <d v="3000-01-01T00:00:00"/>
    <n v="1"/>
    <s v="htson@tma.com.vn"/>
    <m/>
    <s v="Subcontracting"/>
  </r>
  <r>
    <x v="46"/>
    <s v="CA0131888"/>
    <n v="69078249"/>
    <s v="dtuanngu"/>
    <s v="Dat"/>
    <s v="Nguyen"/>
    <s v="TUAN NGUYEN Dat"/>
    <x v="6"/>
    <x v="4"/>
    <x v="3"/>
    <s v="New"/>
    <s v="The"/>
    <x v="4"/>
    <s v="The"/>
    <n v="1"/>
    <s v="APC plug dev"/>
    <d v="2014-06-04T00:00:00"/>
    <d v="2018-01-14T00:00:00"/>
    <n v="0"/>
    <s v="nguyentuandat@tma.com.vn"/>
    <m/>
    <s v="Subcontracting"/>
  </r>
  <r>
    <x v="48"/>
    <s v="CA0131888"/>
    <n v="69078249"/>
    <s v="dtuanngu"/>
    <s v="Dat"/>
    <s v="Nguyen"/>
    <s v="TUAN NGUYEN Dat"/>
    <x v="6"/>
    <x v="4"/>
    <x v="3"/>
    <s v="New"/>
    <s v="The"/>
    <x v="6"/>
    <s v="The"/>
    <n v="1"/>
    <m/>
    <d v="2018-01-15T00:00:00"/>
    <d v="3000-01-01T00:00:00"/>
    <n v="1"/>
    <s v="nguyentuandat@tma.com.vn"/>
    <m/>
    <s v="Subcontracting"/>
  </r>
  <r>
    <x v="31"/>
    <s v="CA0063846"/>
    <n v="69077092"/>
    <s v="tthanhle"/>
    <s v="Tan"/>
    <s v="Le"/>
    <s v="THANH LE Tan"/>
    <x v="6"/>
    <x v="4"/>
    <x v="3"/>
    <s v="Core"/>
    <s v="The"/>
    <x v="7"/>
    <s v="The"/>
    <n v="1"/>
    <s v="APC core dev"/>
    <d v="2016-03-28T00:00:00"/>
    <d v="2018-03-04T00:00:00"/>
    <n v="0"/>
    <s v="lthanhtan@tma.com.vn"/>
    <m/>
    <s v="Subcontracting"/>
  </r>
  <r>
    <x v="47"/>
    <s v="CA0063846"/>
    <n v="69077092"/>
    <s v="tthanhle"/>
    <s v="Tan"/>
    <s v="Le"/>
    <s v="THANH LE Tan"/>
    <x v="6"/>
    <x v="4"/>
    <x v="3"/>
    <s v="New"/>
    <s v="The"/>
    <x v="4"/>
    <s v="The"/>
    <n v="1"/>
    <m/>
    <d v="2018-03-05T00:00:00"/>
    <d v="3000-01-01T00:00:00"/>
    <n v="1"/>
    <s v="lthanhtan@tma.com.vn"/>
    <m/>
    <s v="Subcontracting"/>
  </r>
  <r>
    <x v="23"/>
    <s v="CA0167812"/>
    <n v="69079849"/>
    <s v="hvantran"/>
    <s v="Hoa"/>
    <s v="Tran"/>
    <s v="Hoa VAN TRAN"/>
    <x v="6"/>
    <x v="4"/>
    <x v="3"/>
    <s v="New"/>
    <s v="The"/>
    <x v="6"/>
    <s v="The"/>
    <n v="1"/>
    <m/>
    <d v="2015-07-16T00:00:00"/>
    <d v="3000-01-01T00:00:00"/>
    <n v="1"/>
    <s v="tranvanhoa@tma.com.vn"/>
    <m/>
    <s v="Subcontracting"/>
  </r>
  <r>
    <x v="46"/>
    <s v="CA0076824"/>
    <n v="69077232"/>
    <s v="atuanngu"/>
    <s v="Anh"/>
    <s v="Nguyen"/>
    <s v="TUAN NGUYEN Anh"/>
    <x v="6"/>
    <x v="4"/>
    <x v="3"/>
    <s v="New"/>
    <s v="The"/>
    <x v="4"/>
    <s v="The"/>
    <n v="1"/>
    <s v="ANV dev"/>
    <d v="2016-03-28T00:00:00"/>
    <d v="3000-01-01T00:00:00"/>
    <n v="1"/>
    <s v="ntanh1@tma.com.vn"/>
    <m/>
    <s v="Subcontracting"/>
  </r>
  <r>
    <x v="49"/>
    <s v="CA0172777"/>
    <n v="69080126"/>
    <s v="thonglai"/>
    <s v="Thien"/>
    <s v="Lai"/>
    <s v="Thien HONG LAI"/>
    <x v="6"/>
    <x v="4"/>
    <x v="3"/>
    <s v="Plug"/>
    <s v="The"/>
    <x v="7"/>
    <s v="The"/>
    <n v="1"/>
    <s v="APC plug dev"/>
    <d v="2015-09-11T00:00:00"/>
    <d v="3000-01-01T00:00:00"/>
    <n v="1"/>
    <s v="lhthien@tma.com.vn"/>
    <m/>
    <s v="Subcontracting"/>
  </r>
  <r>
    <x v="5"/>
    <s v="CA0062346"/>
    <n v="69077079"/>
    <s v="aquocvo"/>
    <s v="Anh"/>
    <s v="Vo"/>
    <s v="QUOC VO Anh"/>
    <x v="6"/>
    <x v="4"/>
    <x v="3"/>
    <s v="Plug"/>
    <s v="The"/>
    <x v="4"/>
    <s v="The"/>
    <n v="1"/>
    <s v="APC plug dev"/>
    <d v="2012-06-26T00:00:00"/>
    <d v="3000-01-01T00:00:00"/>
    <n v="1"/>
    <s v="vqanh@tma.com.vn"/>
    <m/>
    <s v="Subcontracting"/>
  </r>
  <r>
    <x v="49"/>
    <s v="CA0062347"/>
    <n v="69077080"/>
    <s v="tchanlu"/>
    <s v="Thanh"/>
    <s v="Lu"/>
    <s v="CHAN LU Thanh"/>
    <x v="6"/>
    <x v="4"/>
    <x v="3"/>
    <s v="Plug"/>
    <s v="The"/>
    <x v="7"/>
    <s v="The"/>
    <n v="1"/>
    <s v="APC plug dev"/>
    <d v="2012-06-26T00:00:00"/>
    <d v="3000-01-01T00:00:00"/>
    <n v="1"/>
    <s v="lcthanh@tma.com.vn"/>
    <m/>
    <s v="Subcontracting"/>
  </r>
  <r>
    <x v="48"/>
    <s v="CA0194248"/>
    <n v="69090813"/>
    <s v="pbuihoan"/>
    <s v="Phuc"/>
    <s v="Bui"/>
    <s v="Phuc BUI HOANG"/>
    <x v="6"/>
    <x v="4"/>
    <x v="3"/>
    <s v="New"/>
    <s v="The"/>
    <x v="6"/>
    <s v="The"/>
    <n v="1"/>
    <s v="APC plug dev"/>
    <d v="2016-06-21T00:00:00"/>
    <d v="3000-01-01T00:00:00"/>
    <n v="1"/>
    <s v="bhphuc@tma.com.vn"/>
    <m/>
    <s v="Subcontracting"/>
  </r>
  <r>
    <x v="49"/>
    <s v="CA0064088"/>
    <n v="69077095"/>
    <s v="nngoctra"/>
    <s v="Nha"/>
    <s v="Tran"/>
    <s v="NGOC TRAN Nha"/>
    <x v="6"/>
    <x v="4"/>
    <x v="3"/>
    <s v="Plug"/>
    <s v="The"/>
    <x v="7"/>
    <s v="The"/>
    <n v="1"/>
    <s v="APC plug dev"/>
    <d v="2012-07-11T00:00:00"/>
    <d v="3000-01-01T00:00:00"/>
    <n v="1"/>
    <s v="tnnha@tma.com.vn"/>
    <m/>
    <s v="Subcontracting"/>
  </r>
  <r>
    <x v="5"/>
    <s v="CA0069294"/>
    <n v="69077131"/>
    <s v="cchile"/>
    <s v="Canh"/>
    <s v="Le"/>
    <s v="CHI LE Canh"/>
    <x v="6"/>
    <x v="4"/>
    <x v="3"/>
    <s v="Plug"/>
    <s v="The"/>
    <x v="4"/>
    <s v="The"/>
    <n v="1"/>
    <m/>
    <d v="2012-08-31T00:00:00"/>
    <d v="3000-01-01T00:00:00"/>
    <n v="1"/>
    <s v="lccanh@tma.com.vn"/>
    <m/>
    <s v="Subcontracting"/>
  </r>
  <r>
    <x v="49"/>
    <s v="CA0125308"/>
    <n v="69078106"/>
    <s v="vdangtra"/>
    <s v="Vuong"/>
    <s v="Tran"/>
    <s v="DANG TRAN Vuong"/>
    <x v="6"/>
    <x v="4"/>
    <x v="3"/>
    <s v="Plug"/>
    <s v="The"/>
    <x v="7"/>
    <s v="The"/>
    <n v="1"/>
    <s v="APC plug dev"/>
    <d v="2014-04-07T00:00:00"/>
    <d v="3000-01-01T00:00:00"/>
    <n v="1"/>
    <s v="tdvuong@tma.com.vn"/>
    <m/>
    <s v="Subcontracting"/>
  </r>
  <r>
    <x v="50"/>
    <s v="AAT017546"/>
    <n v="69075600"/>
    <s v="thit"/>
    <s v="Thi"/>
    <s v="Tran"/>
    <s v="TRAN Thi THIMY"/>
    <x v="6"/>
    <x v="4"/>
    <x v="6"/>
    <s v="Core"/>
    <s v="The"/>
    <x v="7"/>
    <s v="The"/>
    <n v="1"/>
    <s v="TMA lead of APC Core tester"/>
    <d v="2009-10-12T00:00:00"/>
    <d v="3000-01-01T00:00:00"/>
    <n v="1"/>
    <s v="ttmthi@tma.com.vn"/>
    <m/>
    <s v="Subcontracting"/>
  </r>
  <r>
    <x v="50"/>
    <s v="CA0046582"/>
    <n v="69076928"/>
    <s v="avanthop"/>
    <s v="Anh"/>
    <s v="Phan"/>
    <s v="VAN THO PHAN Anh"/>
    <x v="6"/>
    <x v="4"/>
    <x v="6"/>
    <s v="Core"/>
    <s v="The"/>
    <x v="7"/>
    <s v="The"/>
    <n v="1"/>
    <s v="APC core tester"/>
    <d v="2012-01-26T00:00:00"/>
    <d v="3000-01-01T00:00:00"/>
    <n v="1"/>
    <s v="pvtanh@tma.com.vn"/>
    <m/>
    <s v="Subcontracting"/>
  </r>
  <r>
    <x v="50"/>
    <s v="CA0076825"/>
    <n v="69077233"/>
    <s v="dthanhng"/>
    <s v="Danh"/>
    <s v="Nguyen"/>
    <s v="THANH NGUYEN Danh"/>
    <x v="6"/>
    <x v="4"/>
    <x v="6"/>
    <s v="Core"/>
    <s v="The"/>
    <x v="7"/>
    <s v="The"/>
    <n v="1"/>
    <s v="APC core tester"/>
    <d v="2012-11-16T00:00:00"/>
    <d v="2018-03-09T00:00:00"/>
    <n v="0"/>
    <s v="nthanhdanh@tma.com.vn"/>
    <m/>
    <s v="Subcontracting"/>
  </r>
  <r>
    <x v="50"/>
    <m/>
    <n v="69134526"/>
    <m/>
    <s v="Van"/>
    <s v="Pham"/>
    <s v="Pham Tuong Van"/>
    <x v="6"/>
    <x v="4"/>
    <x v="6"/>
    <s v="Core"/>
    <s v="The"/>
    <x v="7"/>
    <s v="The"/>
    <n v="1"/>
    <m/>
    <d v="2018-03-10T00:00:00"/>
    <d v="3000-01-01T00:00:00"/>
    <n v="1"/>
    <m/>
    <m/>
    <s v="Subcontracting"/>
  </r>
  <r>
    <x v="51"/>
    <s v="CA0189645"/>
    <n v="69086989"/>
    <s v="ttoandan"/>
    <s v="Thang"/>
    <s v="Dang"/>
    <s v="Thang TOAN DANG"/>
    <x v="6"/>
    <x v="4"/>
    <x v="6"/>
    <s v="Plug"/>
    <s v="The"/>
    <x v="7"/>
    <s v="The"/>
    <n v="1"/>
    <s v="APC plug tester"/>
    <d v="2016-04-14T00:00:00"/>
    <d v="3000-01-01T00:00:00"/>
    <n v="1"/>
    <s v="dtthang@tma.com.vn"/>
    <m/>
    <s v="Subcontracting"/>
  </r>
  <r>
    <x v="19"/>
    <s v="CA0055492"/>
    <n v="69077017"/>
    <s v="lotran"/>
    <s v="Long"/>
    <s v="Tran"/>
    <s v="TRAN Long"/>
    <x v="6"/>
    <x v="4"/>
    <x v="6"/>
    <s v="New"/>
    <s v="The"/>
    <x v="6"/>
    <s v="The"/>
    <n v="1"/>
    <m/>
    <d v="2012-11-01T00:00:00"/>
    <d v="3000-01-01T00:00:00"/>
    <n v="1"/>
    <s v="tdlong@tma.com.vn"/>
    <m/>
    <s v="Subcontracting"/>
  </r>
  <r>
    <x v="48"/>
    <s v="CA0087186"/>
    <n v="69077340"/>
    <s v="tchitran"/>
    <s v="Tam"/>
    <s v="Tran"/>
    <s v="CHI TRAN Tam"/>
    <x v="6"/>
    <x v="4"/>
    <x v="3"/>
    <s v="New"/>
    <s v="The"/>
    <x v="6"/>
    <s v="The"/>
    <n v="1"/>
    <s v="NG"/>
    <d v="2013-03-18T00:00:00"/>
    <d v="3000-01-01T00:00:00"/>
    <n v="1"/>
    <s v="tctam@tma.com.vn"/>
    <m/>
    <s v="Subcontracting"/>
  </r>
  <r>
    <x v="48"/>
    <s v="CA0217766"/>
    <n v="69109948"/>
    <s v="hngoctra"/>
    <s v="Hai"/>
    <s v="Tran"/>
    <s v="NGOC TRAN Hai"/>
    <x v="6"/>
    <x v="4"/>
    <x v="3"/>
    <s v="New"/>
    <s v="The"/>
    <x v="6"/>
    <s v="The"/>
    <n v="1"/>
    <s v="NG"/>
    <d v="2017-05-05T00:00:00"/>
    <d v="3000-01-01T00:00:00"/>
    <n v="1"/>
    <s v="tngochai@tma.com.vn"/>
    <m/>
    <s v="Subcontracting"/>
  </r>
  <r>
    <x v="52"/>
    <s v="CA0125387"/>
    <n v="69078108"/>
    <s v="tathanhl"/>
    <s v="Tan (2)"/>
    <s v="Le"/>
    <s v="THANH LE Tan2"/>
    <x v="6"/>
    <x v="4"/>
    <x v="3"/>
    <s v="Core"/>
    <s v="The"/>
    <x v="9"/>
    <s v="The"/>
    <n v="1"/>
    <s v="OAD/NBI/HDM"/>
    <d v="2014-04-07T00:00:00"/>
    <d v="3000-01-01T00:00:00"/>
    <n v="1"/>
    <s v="lethanhtan@tma.com.vn"/>
    <m/>
    <s v="Subcontracting"/>
  </r>
  <r>
    <x v="49"/>
    <s v="CA0106287"/>
    <n v="69077667"/>
    <s v="tthidiem"/>
    <s v="Trang"/>
    <s v="Nguyen"/>
    <s v="THI DIEM NGUYEN Trang"/>
    <x v="6"/>
    <x v="4"/>
    <x v="3"/>
    <s v="Plug"/>
    <s v="The"/>
    <x v="7"/>
    <s v="The"/>
    <n v="1"/>
    <m/>
    <d v="2013-09-20T00:00:00"/>
    <d v="2018-02-28T00:00:00"/>
    <n v="0"/>
    <s v="ntdiemtrang@tma.com.vn"/>
    <m/>
    <s v="Subcontracting"/>
  </r>
  <r>
    <x v="49"/>
    <m/>
    <n v="69134528"/>
    <m/>
    <s v="Tai"/>
    <s v="Tran"/>
    <s v="Tran Tan Tai"/>
    <x v="6"/>
    <x v="4"/>
    <x v="3"/>
    <s v="Plug"/>
    <s v="The"/>
    <x v="7"/>
    <s v="The"/>
    <n v="1"/>
    <m/>
    <d v="2018-03-01T00:00:00"/>
    <d v="3000-01-01T00:00:00"/>
    <n v="1"/>
    <m/>
    <m/>
    <m/>
  </r>
  <r>
    <x v="53"/>
    <s v="CA0102308"/>
    <n v="69077564"/>
    <s v="htrongtr"/>
    <s v="Hieu"/>
    <s v="Truong"/>
    <s v="TRONG TRUONG Hieu"/>
    <x v="6"/>
    <x v="4"/>
    <x v="3"/>
    <s v="Core"/>
    <s v="The"/>
    <x v="8"/>
    <s v="The"/>
    <n v="1"/>
    <s v="IDM/SDC"/>
    <d v="2013-08-06T00:00:00"/>
    <d v="2018-03-04T00:00:00"/>
    <n v="0"/>
    <s v="ttronghieu@tma.com.vn"/>
    <m/>
    <s v="Subcontracting"/>
  </r>
  <r>
    <x v="48"/>
    <s v="CA0102308"/>
    <n v="69077564"/>
    <s v="htrongtr"/>
    <s v="Hieu"/>
    <s v="Truong"/>
    <s v="TRONG TRUONG Hieu"/>
    <x v="6"/>
    <x v="4"/>
    <x v="3"/>
    <s v="New"/>
    <s v="The"/>
    <x v="6"/>
    <s v="The"/>
    <n v="1"/>
    <m/>
    <d v="2018-03-05T00:00:00"/>
    <d v="3000-01-01T00:00:00"/>
    <n v="1"/>
    <s v="ttronghieu@tma.com.vn"/>
    <m/>
    <s v="Subcontracting"/>
  </r>
  <r>
    <x v="54"/>
    <s v="CA0124705"/>
    <n v="69078085"/>
    <s v="qthanhng"/>
    <s v="Quan"/>
    <s v="Nguyen"/>
    <s v="THANH NGUYEN Quan"/>
    <x v="6"/>
    <x v="4"/>
    <x v="3"/>
    <s v="Core"/>
    <s v="The"/>
    <x v="2"/>
    <s v="The"/>
    <n v="1"/>
    <s v="Scripting"/>
    <d v="2014-03-27T00:00:00"/>
    <d v="3000-01-01T00:00:00"/>
    <n v="1"/>
    <s v="nthanhquan@tma.com.vn"/>
    <m/>
    <s v="Subcontracting"/>
  </r>
  <r>
    <x v="55"/>
    <s v="CA0037960"/>
    <n v="69076804"/>
    <s v="cvunguye"/>
    <s v="Cuong"/>
    <s v="Nguyen"/>
    <s v="VU NGUYEN Cuong"/>
    <x v="6"/>
    <x v="4"/>
    <x v="9"/>
    <s v="Core"/>
    <s v="The"/>
    <x v="2"/>
    <s v="The"/>
    <n v="1"/>
    <s v="Automation Core"/>
    <d v="2011-09-01T00:00:00"/>
    <d v="3000-01-01T00:00:00"/>
    <n v="1"/>
    <s v="nvucuong@tma.com.vn"/>
    <m/>
    <s v="Subcontracting"/>
  </r>
  <r>
    <x v="55"/>
    <s v="CA0139711"/>
    <n v="69078498"/>
    <s v="hhungngu"/>
    <s v="Hau"/>
    <s v="Nguyen"/>
    <s v="Nguyen Hung Hau"/>
    <x v="6"/>
    <x v="4"/>
    <x v="9"/>
    <s v="Core"/>
    <s v="The"/>
    <x v="2"/>
    <s v="The"/>
    <n v="1"/>
    <s v="Automation Core"/>
    <d v="2014-09-01T00:00:00"/>
    <d v="3000-01-01T00:00:00"/>
    <n v="1"/>
    <s v="nhunghau@tma.com.vn"/>
    <m/>
    <s v="Subcontracting"/>
  </r>
  <r>
    <x v="46"/>
    <s v="CA0138662"/>
    <n v="69078446"/>
    <s v="taim"/>
    <s v="Tai"/>
    <s v="Nguyen"/>
    <s v="MINH NGUYEN Tai"/>
    <x v="6"/>
    <x v="4"/>
    <x v="3"/>
    <s v="New"/>
    <s v="The"/>
    <x v="4"/>
    <s v="The"/>
    <n v="1"/>
    <s v="Automation for NP/LRM/HA, Moved to App Test"/>
    <d v="2014-08-05T00:00:00"/>
    <d v="3000-01-01T00:00:00"/>
    <n v="1"/>
    <s v="nmtai@tma.com.vn"/>
    <m/>
    <s v="Subcontracting"/>
  </r>
  <r>
    <x v="11"/>
    <s v="CA0145991"/>
    <n v="69078805"/>
    <s v="qducnguy"/>
    <s v="Quynh"/>
    <s v="Nguyen"/>
    <s v="Quynh DUC NGUYEN"/>
    <x v="6"/>
    <x v="4"/>
    <x v="5"/>
    <s v="NA"/>
    <s v="SVGK"/>
    <x v="0"/>
    <s v="The"/>
    <n v="1"/>
    <s v="Tools Improvement"/>
    <d v="2014-10-31T00:00:00"/>
    <d v="3000-01-01T00:00:00"/>
    <n v="1"/>
    <s v="ndquynh@tma.com.vn"/>
    <m/>
    <s v="Subcontracting"/>
  </r>
  <r>
    <x v="7"/>
    <s v="CA0141025"/>
    <n v="69078551"/>
    <s v="cminhho"/>
    <s v="Chung"/>
    <s v="Ho"/>
    <s v="MINH HO Chung"/>
    <x v="6"/>
    <x v="4"/>
    <x v="3"/>
    <s v="New"/>
    <s v="The"/>
    <x v="6"/>
    <s v="The"/>
    <n v="1"/>
    <s v="He will no longer be an IA "/>
    <d v="2014-09-04T00:00:00"/>
    <d v="3000-01-01T00:00:00"/>
    <n v="1"/>
    <s v="hmchung@tma.com.vn"/>
    <m/>
    <s v="Subcontracting"/>
  </r>
  <r>
    <x v="48"/>
    <s v="CA0187647"/>
    <n v="69085907"/>
    <s v="cviluu"/>
    <s v="Cam"/>
    <s v="Luu"/>
    <s v="Cam VI LUU"/>
    <x v="6"/>
    <x v="4"/>
    <x v="3"/>
    <s v="New"/>
    <s v="The"/>
    <x v="5"/>
    <s v="The"/>
    <n v="1"/>
    <s v="PCC core dev"/>
    <d v="2016-03-21T00:00:00"/>
    <d v="3000-01-01T00:00:00"/>
    <n v="1"/>
    <s v="lvcam@tma.com.vn"/>
    <m/>
    <s v="Subcontracting"/>
  </r>
  <r>
    <x v="43"/>
    <s v="CA0142106"/>
    <n v="69078642"/>
    <s v="bvubui"/>
    <s v="Bao"/>
    <s v="Bui"/>
    <s v="VU BUI Bao"/>
    <x v="6"/>
    <x v="4"/>
    <x v="3"/>
    <s v="Core"/>
    <s v="The"/>
    <x v="2"/>
    <s v="The"/>
    <n v="1"/>
    <s v="ImportExport"/>
    <d v="2014-09-12T00:00:00"/>
    <d v="3000-01-01T00:00:00"/>
    <n v="1"/>
    <s v="bvbao@tma.com.vn"/>
    <m/>
    <s v="Subcontracting"/>
  </r>
  <r>
    <x v="53"/>
    <s v="CA0142107"/>
    <n v="69078643"/>
    <s v="thoangtr"/>
    <s v="Tien"/>
    <s v="Truong"/>
    <s v="HOANG TRUONG Tien"/>
    <x v="6"/>
    <x v="4"/>
    <x v="3"/>
    <s v="Core"/>
    <s v="The"/>
    <x v="2"/>
    <s v="The"/>
    <n v="1"/>
    <s v="GUI"/>
    <d v="2014-09-17T00:00:00"/>
    <d v="3000-01-01T00:00:00"/>
    <n v="1"/>
    <s v="thtien@tma.com.vn"/>
    <m/>
    <s v="Subcontracting"/>
  </r>
  <r>
    <x v="46"/>
    <s v="CA0042015"/>
    <n v="69076855"/>
    <s v="thuunguy"/>
    <s v="Toan"/>
    <s v="Nguyen"/>
    <s v="HUU NGUYEN Toan"/>
    <x v="6"/>
    <x v="4"/>
    <x v="3"/>
    <s v="New"/>
    <s v="The"/>
    <x v="4"/>
    <s v="The"/>
    <n v="1"/>
    <s v="TL1/PMA/Netconf"/>
    <d v="2011-11-03T00:00:00"/>
    <d v="3000-01-01T00:00:00"/>
    <n v="1"/>
    <s v="nhuutoan@tma.com.vn"/>
    <m/>
    <s v="Subcontracting"/>
  </r>
  <r>
    <x v="55"/>
    <s v="CA0007835"/>
    <n v="69076460"/>
    <s v="tamhoann"/>
    <s v="Tam"/>
    <s v="Ngo"/>
    <s v="NGO Tam Hoang"/>
    <x v="6"/>
    <x v="4"/>
    <x v="9"/>
    <s v="Core"/>
    <s v="The"/>
    <x v="2"/>
    <s v="The"/>
    <n v="1"/>
    <s v="Automation Core"/>
    <d v="2010-10-04T00:00:00"/>
    <d v="3000-01-01T00:00:00"/>
    <n v="1"/>
    <s v="ngohoangtam@tma.com.vn"/>
    <m/>
    <s v="Subcontracting"/>
  </r>
  <r>
    <x v="47"/>
    <s v="CA0199619"/>
    <n v="69093688"/>
    <s v="cvannguy"/>
    <s v="Canh"/>
    <s v="Nguyen"/>
    <s v="VAN NGUYEN CANH"/>
    <x v="6"/>
    <x v="4"/>
    <x v="3"/>
    <s v="New"/>
    <s v="The"/>
    <x v="4"/>
    <s v="The"/>
    <n v="1"/>
    <s v="Moved from PM/TS"/>
    <d v="2017-04-07T00:00:00"/>
    <d v="3000-01-01T00:00:00"/>
    <n v="1"/>
    <s v="nvcanh@tma.com.vn"/>
    <m/>
    <s v="Subcontracting"/>
  </r>
  <r>
    <x v="54"/>
    <s v="CA0043915"/>
    <n v="69076880"/>
    <s v="txuanngu"/>
    <s v="Truong"/>
    <s v="Nguyen"/>
    <s v="XUAN NGUYEN Truong"/>
    <x v="6"/>
    <x v="4"/>
    <x v="3"/>
    <s v="Core"/>
    <s v="The"/>
    <x v="2"/>
    <s v="The"/>
    <n v="1"/>
    <s v="LRM"/>
    <d v="2011-12-14T00:00:00"/>
    <d v="3000-01-01T00:00:00"/>
    <n v="1"/>
    <s v="nxtruong@tma.com.vn"/>
    <m/>
    <s v="Subcontracting"/>
  </r>
  <r>
    <x v="24"/>
    <s v="CA0090914 "/>
    <n v="69077375"/>
    <s v="htuanngu"/>
    <s v="Huy"/>
    <s v="Nguyen"/>
    <s v="Nguyen Tuan Huy"/>
    <x v="6"/>
    <x v="4"/>
    <x v="6"/>
    <s v="Plug"/>
    <s v="The"/>
    <x v="2"/>
    <s v="The"/>
    <n v="1"/>
    <s v="Automation Plugs, Moved to Plug Test"/>
    <d v="2013-04-10T00:00:00"/>
    <d v="3000-01-01T00:00:00"/>
    <n v="1"/>
    <s v="nthuy@tma.com.vn"/>
    <m/>
    <s v="Subcontracting"/>
  </r>
  <r>
    <x v="52"/>
    <s v="CA0210126"/>
    <n v="69101945"/>
    <s v="cngocmin"/>
    <s v="Chau"/>
    <s v="Ngo"/>
    <s v="Chau NGOC MINH NGO"/>
    <x v="6"/>
    <x v="4"/>
    <x v="3"/>
    <s v="Core"/>
    <s v="The"/>
    <x v="2"/>
    <s v="The"/>
    <n v="1"/>
    <s v="Solutions"/>
    <d v="2017-01-12T00:00:00"/>
    <d v="2018-02-28T00:00:00"/>
    <n v="0"/>
    <s v="nnmchau@tma.com.vn"/>
    <m/>
    <s v="Subcontracting"/>
  </r>
  <r>
    <x v="48"/>
    <s v="CA0210126"/>
    <n v="69101945"/>
    <s v="cngocmin"/>
    <s v="Chau"/>
    <s v="Ngo"/>
    <s v="Chau NGOC MINH NGO"/>
    <x v="6"/>
    <x v="4"/>
    <x v="3"/>
    <s v="New"/>
    <s v="The"/>
    <x v="6"/>
    <s v="The"/>
    <n v="1"/>
    <m/>
    <d v="2018-03-01T00:00:00"/>
    <d v="3000-01-01T00:00:00"/>
    <n v="1"/>
    <s v="nnmchau@tma.com.vn"/>
    <m/>
    <s v="Subcontracting"/>
  </r>
  <r>
    <x v="52"/>
    <s v="CA0033446"/>
    <n v="69076720"/>
    <s v="nvanbui"/>
    <s v="Nghiem"/>
    <s v="Bui"/>
    <s v="VAN BUI Nghiem"/>
    <x v="6"/>
    <x v="4"/>
    <x v="3"/>
    <s v="Core"/>
    <s v="The"/>
    <x v="2"/>
    <s v="The"/>
    <n v="1"/>
    <s v="Platform"/>
    <d v="2011-06-27T00:00:00"/>
    <d v="3000-01-01T00:00:00"/>
    <n v="1"/>
    <s v="bvnghiem@tma.com.vn"/>
    <m/>
    <s v="Subcontracting"/>
  </r>
  <r>
    <x v="48"/>
    <s v="AAT017517"/>
    <n v="69075594"/>
    <s v="dchau"/>
    <s v="Duy"/>
    <s v="Chau"/>
    <s v="CHAU Duy HAI"/>
    <x v="6"/>
    <x v="4"/>
    <x v="3"/>
    <s v="New"/>
    <s v="The"/>
    <x v="6"/>
    <s v="The"/>
    <n v="1"/>
    <s v="GUI"/>
    <d v="2009-01-12T00:00:00"/>
    <d v="3000-01-01T00:00:00"/>
    <n v="1"/>
    <s v="chduy@tma.com.vn"/>
    <m/>
    <s v="Subcontracting"/>
  </r>
  <r>
    <x v="48"/>
    <s v="CA0199620"/>
    <n v="69093692"/>
    <s v="mngochie"/>
    <s v="Minh"/>
    <s v="Tran"/>
    <s v="Minh NGOC HIEU TRAN"/>
    <x v="6"/>
    <x v="4"/>
    <x v="3"/>
    <s v="New"/>
    <s v="The"/>
    <x v="6"/>
    <s v="The"/>
    <n v="1"/>
    <s v="Moved to NAC team on Oct 9, 2017"/>
    <d v="2016-08-12T00:00:00"/>
    <d v="3000-01-01T00:00:00"/>
    <n v="1"/>
    <s v="tnhminh@tma.com.vn"/>
    <m/>
    <s v="Subcontracting"/>
  </r>
  <r>
    <x v="53"/>
    <s v="CA0226326"/>
    <n v="69125865"/>
    <s v="bquocdin"/>
    <s v="Bao"/>
    <s v="Dinh"/>
    <s v="Bao QUOC DINH"/>
    <x v="6"/>
    <x v="4"/>
    <x v="3"/>
    <s v="Core"/>
    <s v="The"/>
    <x v="8"/>
    <s v="The"/>
    <n v="1"/>
    <s v="IDM/SDC"/>
    <d v="2017-09-01T00:00:00"/>
    <d v="3000-01-01T00:00:00"/>
    <n v="1"/>
    <s v="dqbao@tma.com.vn"/>
    <m/>
    <s v="Subcontracting"/>
  </r>
  <r>
    <x v="10"/>
    <s v="CA0204868"/>
    <n v="69098051"/>
    <s v="lhoangng"/>
    <s v="Long"/>
    <s v="Nguyen"/>
    <s v="HOANG NGUYEN Long"/>
    <x v="6"/>
    <x v="4"/>
    <x v="3"/>
    <s v="Core"/>
    <s v="The"/>
    <x v="10"/>
    <s v="The"/>
    <n v="1"/>
    <m/>
    <d v="2017-04-01T00:00:00"/>
    <d v="3000-01-01T00:00:00"/>
    <n v="1"/>
    <s v="nhlong@tma.com.vn"/>
    <m/>
    <s v="Subcontracting"/>
  </r>
  <r>
    <x v="53"/>
    <s v="CA0150245"/>
    <n v="69078975"/>
    <s v="tphamcao"/>
    <s v="Tri"/>
    <s v="Pham"/>
    <s v="PHAM CAO PHU Tri"/>
    <x v="6"/>
    <x v="4"/>
    <x v="3"/>
    <s v="Core"/>
    <s v="The"/>
    <x v="8"/>
    <s v="The"/>
    <n v="1"/>
    <s v="IDM/SDC"/>
    <d v="2014-12-24T00:00:00"/>
    <d v="3000-01-01T00:00:00"/>
    <n v="1"/>
    <s v="pcptri@tma.com.vn"/>
    <m/>
    <s v="Subcontracting"/>
  </r>
  <r>
    <x v="46"/>
    <s v="CA0187646"/>
    <n v="69085900"/>
    <s v="nduyluon"/>
    <s v="Nhat"/>
    <s v="Luong"/>
    <s v="DUY LUONG Nhat"/>
    <x v="6"/>
    <x v="4"/>
    <x v="3"/>
    <s v="New"/>
    <s v="The"/>
    <x v="4"/>
    <s v="The"/>
    <n v="1"/>
    <s v="Moved from PM/TS"/>
    <d v="2016-05-20T00:00:00"/>
    <d v="3000-01-01T00:00:00"/>
    <n v="1"/>
    <s v="ldnhat@tma.com.vn"/>
    <m/>
    <s v="Subcontracting"/>
  </r>
  <r>
    <x v="53"/>
    <s v="CA0079807"/>
    <n v="69077270"/>
    <s v="vua"/>
    <s v="Vu"/>
    <s v="Nguyen"/>
    <s v="AN NGUYEN Vu"/>
    <x v="6"/>
    <x v="4"/>
    <x v="3"/>
    <s v="Core"/>
    <s v="The"/>
    <x v="2"/>
    <s v="The"/>
    <n v="0.5"/>
    <s v="GUI"/>
    <d v="2012-12-14T00:00:00"/>
    <d v="3000-01-01T00:00:00"/>
    <n v="0.5"/>
    <s v="nanvu@tma.com.vn"/>
    <m/>
    <s v="Subcontracting"/>
  </r>
  <r>
    <x v="53"/>
    <s v="CA0079807"/>
    <n v="69077270"/>
    <s v="vua"/>
    <s v="Vu"/>
    <s v="Nguyen"/>
    <s v="AN NGUYEN Vu"/>
    <x v="6"/>
    <x v="4"/>
    <x v="3"/>
    <s v="Core"/>
    <s v="The"/>
    <x v="8"/>
    <s v="The"/>
    <n v="0.5"/>
    <s v="IDM/SDC"/>
    <d v="2012-12-14T00:00:00"/>
    <d v="3000-01-01T00:00:00"/>
    <n v="0.5"/>
    <s v="nanvu@tma.com.vn"/>
    <m/>
    <s v="Subcontracting"/>
  </r>
  <r>
    <x v="54"/>
    <s v="AAT017528"/>
    <n v="69075597"/>
    <s v="thuyenng"/>
    <s v="Thuyen"/>
    <s v="Nguyen"/>
    <s v="NGUYEN Thuyen BA"/>
    <x v="6"/>
    <x v="4"/>
    <x v="3"/>
    <s v="Core"/>
    <s v="The"/>
    <x v="2"/>
    <s v="The"/>
    <n v="1"/>
    <s v="Scripting"/>
    <d v="2009-04-14T00:00:00"/>
    <d v="3000-01-01T00:00:00"/>
    <n v="1"/>
    <s v="nbthuyen@tma.com.vn"/>
    <m/>
    <s v="Subcontracting"/>
  </r>
  <r>
    <x v="47"/>
    <s v="CA0008005"/>
    <n v="69076461"/>
    <s v="sangthap"/>
    <s v="Sang"/>
    <s v="Phung"/>
    <s v="PHUNG Sang Thanh"/>
    <x v="6"/>
    <x v="4"/>
    <x v="3"/>
    <s v="New"/>
    <s v="The"/>
    <x v="4"/>
    <s v="The"/>
    <n v="1"/>
    <s v="Scripting"/>
    <d v="2010-10-08T00:00:00"/>
    <d v="3000-01-01T00:00:00"/>
    <n v="1"/>
    <s v="ptsang@tma.com.vn"/>
    <m/>
    <s v="Subcontracting"/>
  </r>
  <r>
    <x v="56"/>
    <s v="CA0057128"/>
    <n v="69077029"/>
    <s v="thoangph"/>
    <s v="Tuan"/>
    <s v="Phan"/>
    <s v="HOANG PHAN Tuan"/>
    <x v="6"/>
    <x v="4"/>
    <x v="6"/>
    <s v="Core"/>
    <s v="The"/>
    <x v="2"/>
    <s v="The"/>
    <n v="1"/>
    <s v="Team leader of APPs Tester"/>
    <d v="2012-05-09T00:00:00"/>
    <d v="3000-01-01T00:00:00"/>
    <n v="1"/>
    <s v="phtuan@tma.com.vn"/>
    <m/>
    <s v="Subcontracting"/>
  </r>
  <r>
    <x v="50"/>
    <s v="CA0082414"/>
    <n v="69077301"/>
    <s v="bthicamn"/>
    <s v="Bich"/>
    <s v="Nguyen"/>
    <s v="Nguyen Thi Cam Bich"/>
    <x v="6"/>
    <x v="4"/>
    <x v="6"/>
    <s v="Core"/>
    <s v="The"/>
    <x v="7"/>
    <s v="The"/>
    <n v="1"/>
    <s v="APC core tester"/>
    <d v="2013-05-13T00:00:00"/>
    <d v="3000-01-01T00:00:00"/>
    <n v="1"/>
    <s v="ntcbich@tma.com.vn"/>
    <m/>
    <s v="Subcontracting"/>
  </r>
  <r>
    <x v="28"/>
    <s v="CA0228537"/>
    <n v="69128385"/>
    <s v="tthianhl"/>
    <s v="Thu"/>
    <s v="Le"/>
    <s v="LE THI ANH Thu"/>
    <x v="6"/>
    <x v="4"/>
    <x v="6"/>
    <s v="New"/>
    <s v="The"/>
    <x v="4"/>
    <s v="The"/>
    <n v="1"/>
    <s v="NAV tester"/>
    <d v="2017-10-09T00:00:00"/>
    <d v="3000-01-01T00:00:00"/>
    <n v="1"/>
    <s v="ltathu@tma.com.vn "/>
    <m/>
    <s v="Subcontracting"/>
  </r>
  <r>
    <x v="34"/>
    <s v="CA0193165"/>
    <n v="69089990"/>
    <s v="phuuduon"/>
    <s v="Phuoc"/>
    <s v="Duong"/>
    <s v="Phuoc HUU DUONG"/>
    <x v="6"/>
    <x v="4"/>
    <x v="6"/>
    <s v="New"/>
    <s v="The"/>
    <x v="5"/>
    <s v="The"/>
    <n v="1"/>
    <s v="PCC tester"/>
    <d v="2016-06-07T00:00:00"/>
    <d v="3000-01-01T00:00:00"/>
    <n v="1"/>
    <s v="dhphuoc@tma.com.vn"/>
    <m/>
    <s v="Subcontracting"/>
  </r>
  <r>
    <x v="56"/>
    <s v="CA0139780"/>
    <n v="69078504"/>
    <s v="lhoangch"/>
    <s v="Long"/>
    <s v="Chau"/>
    <s v="HOANG CHAU Long"/>
    <x v="6"/>
    <x v="4"/>
    <x v="6"/>
    <s v="New"/>
    <s v="The"/>
    <x v="4"/>
    <s v="The"/>
    <n v="1"/>
    <s v="Virtual allocation of 1 HC in Tuan's team for AV-A test"/>
    <d v="2014-08-21T00:00:00"/>
    <d v="3000-01-01T00:00:00"/>
    <n v="1"/>
    <s v="chlong@tma.com.vn"/>
    <m/>
    <s v="Subcontracting"/>
  </r>
  <r>
    <x v="19"/>
    <s v="CA0143427"/>
    <n v="69078688"/>
    <s v="mhoangtr"/>
    <s v="Minh"/>
    <s v="Tran"/>
    <s v="HOANG TRAN Minh"/>
    <x v="6"/>
    <x v="4"/>
    <x v="6"/>
    <s v="New"/>
    <s v="The"/>
    <x v="6"/>
    <s v="The"/>
    <n v="1"/>
    <s v="Took temprary leave between Nov 1, 2017 and Dec 31, 2017 and he is back now"/>
    <d v="2014-09-16T00:00:00"/>
    <d v="3000-01-01T00:00:00"/>
    <n v="1"/>
    <s v="thminh@tma.com.vn"/>
    <m/>
    <s v="Subcontracting"/>
  </r>
  <r>
    <x v="56"/>
    <s v="CA0141028"/>
    <n v="69078553"/>
    <s v="tminhanh"/>
    <s v="Tai"/>
    <s v="Truong"/>
    <s v="MINH ANH TRUONG Tai"/>
    <x v="6"/>
    <x v="4"/>
    <x v="6"/>
    <s v="Core"/>
    <s v="The"/>
    <x v="2"/>
    <s v="The"/>
    <n v="1"/>
    <s v="APPs Tester"/>
    <d v="2014-08-28T00:00:00"/>
    <d v="3000-01-01T00:00:00"/>
    <n v="1"/>
    <s v="tmatai@tma.com.vn"/>
    <m/>
    <s v="Subcontracting"/>
  </r>
  <r>
    <x v="56"/>
    <s v="CA0143426"/>
    <n v="69078687"/>
    <s v="dhoaiduo"/>
    <s v="Duc"/>
    <s v="Duong"/>
    <s v="DUONG HOAI DUC"/>
    <x v="6"/>
    <x v="4"/>
    <x v="6"/>
    <s v="Core"/>
    <s v="The"/>
    <x v="2"/>
    <s v="The"/>
    <n v="1"/>
    <s v="APPs Tester"/>
    <d v="2014-09-16T00:00:00"/>
    <d v="3000-01-01T00:00:00"/>
    <n v="1"/>
    <s v="dhduc@tma.com.vn"/>
    <m/>
    <s v="Subcontracting"/>
  </r>
  <r>
    <x v="27"/>
    <s v="CA0139719"/>
    <n v="69078502"/>
    <s v="tngocmin"/>
    <s v="Thi"/>
    <s v="Nguyen"/>
    <s v="Thi NGOC MINH NGUYEN"/>
    <x v="6"/>
    <x v="4"/>
    <x v="6"/>
    <s v="Core"/>
    <s v="The"/>
    <x v="2"/>
    <s v="The"/>
    <n v="1"/>
    <s v="APPs Tester"/>
    <d v="2014-08-18T00:00:00"/>
    <d v="3000-01-01T00:00:00"/>
    <n v="1"/>
    <s v="nnmthi@tma.com.vn"/>
    <m/>
    <s v="Subcontracting"/>
  </r>
  <r>
    <x v="50"/>
    <s v="CA0191526"/>
    <n v="69088166"/>
    <s v="nthanhhu"/>
    <s v="Nha"/>
    <s v="Huynh"/>
    <s v="Nha THANH HUYNH"/>
    <x v="6"/>
    <x v="4"/>
    <x v="6"/>
    <s v="Core"/>
    <s v="The"/>
    <x v="7"/>
    <s v="The"/>
    <n v="1"/>
    <s v="APC core tester"/>
    <d v="2016-07-21T00:00:00"/>
    <d v="3000-01-01T00:00:00"/>
    <n v="1"/>
    <s v="hthanhnha@tma.com.vn"/>
    <m/>
    <s v="Subcontracting"/>
  </r>
  <r>
    <x v="56"/>
    <s v="CA0144649"/>
    <n v="69078744"/>
    <s v="hphamdie"/>
    <s v="Hang"/>
    <s v="Nguyen"/>
    <s v="Nguyen Pham Diem Hang"/>
    <x v="6"/>
    <x v="4"/>
    <x v="6"/>
    <s v="Core"/>
    <s v="The"/>
    <x v="2"/>
    <s v="The"/>
    <n v="1"/>
    <s v="APPs Tester"/>
    <d v="2014-10-08T00:00:00"/>
    <d v="3000-01-01T00:00:00"/>
    <n v="1"/>
    <s v="npdhang@tma.com.vn"/>
    <m/>
    <s v="Subcontracting"/>
  </r>
  <r>
    <x v="57"/>
    <s v="CA0027010"/>
    <n v="69076660"/>
    <s v="tnguyenl"/>
    <s v="Toan"/>
    <s v="Nguyen"/>
    <s v="NGUYEN LE BAO Toan"/>
    <x v="6"/>
    <x v="4"/>
    <x v="5"/>
    <s v="Core"/>
    <s v="The"/>
    <x v="3"/>
    <s v="The"/>
    <n v="1"/>
    <s v="iNES/exTL1, Muthu is the owner"/>
    <d v="2011-05-05T00:00:00"/>
    <d v="3000-01-01T00:00:00"/>
    <n v="1"/>
    <s v="nlbtoan@tma.com.vn"/>
    <m/>
    <s v="Subcontracting"/>
  </r>
  <r>
    <x v="57"/>
    <s v="CA0214095"/>
    <n v="69106097"/>
    <s v="txuanhuy"/>
    <s v="Tam"/>
    <s v="Huynh"/>
    <s v="Tam XUAN HUYNH "/>
    <x v="6"/>
    <x v="4"/>
    <x v="5"/>
    <s v="Core"/>
    <s v="The"/>
    <x v="1"/>
    <s v="The"/>
    <n v="1"/>
    <s v="iNES/exTL1"/>
    <d v="2017-03-17T00:00:00"/>
    <d v="3000-01-01T00:00:00"/>
    <n v="1"/>
    <s v="hxuantam@tma.com.vn"/>
    <m/>
    <s v="Subcontracting"/>
  </r>
  <r>
    <x v="52"/>
    <s v="CA0016544"/>
    <n v="69076576"/>
    <s v="vhongle"/>
    <s v="Viet"/>
    <s v="Le"/>
    <s v="HONG LE Viet"/>
    <x v="6"/>
    <x v="4"/>
    <x v="3"/>
    <s v="Core"/>
    <s v="The"/>
    <x v="9"/>
    <s v="The"/>
    <n v="1"/>
    <s v="OAD/NBI/HDM -IA role"/>
    <d v="2011-01-18T00:00:00"/>
    <d v="3000-01-01T00:00:00"/>
    <n v="1"/>
    <s v="lhviet@tma.com.vn"/>
    <m/>
    <s v="Subcontracting"/>
  </r>
  <r>
    <x v="52"/>
    <s v="CA0079805"/>
    <n v="69077268"/>
    <s v="datng"/>
    <s v="Dat"/>
    <s v="Le"/>
    <s v="NGUYEN TAN LE Dat"/>
    <x v="6"/>
    <x v="4"/>
    <x v="3"/>
    <s v="New"/>
    <s v="The"/>
    <x v="9"/>
    <s v="The"/>
    <n v="1"/>
    <s v="OAD/NBI/HDM"/>
    <d v="2012-12-14T00:00:00"/>
    <d v="2018-03-04T00:00:00"/>
    <n v="0"/>
    <s v="lntdat@tma.com.vn"/>
    <m/>
    <s v="Subcontracting"/>
  </r>
  <r>
    <x v="48"/>
    <s v="CA0079805"/>
    <n v="69077268"/>
    <s v="datng"/>
    <s v="Dat"/>
    <s v="Le"/>
    <s v="NGUYEN TAN LE Dat"/>
    <x v="6"/>
    <x v="4"/>
    <x v="3"/>
    <s v="New"/>
    <s v="The"/>
    <x v="6"/>
    <s v="The"/>
    <n v="1"/>
    <m/>
    <d v="2018-03-05T00:00:00"/>
    <d v="2018-04-09T00:00:00"/>
    <n v="1"/>
    <s v="lntdat@tma.com.vn"/>
    <m/>
    <s v="Subcontracting"/>
  </r>
  <r>
    <x v="48"/>
    <m/>
    <n v="69134524"/>
    <s v="ttranmin"/>
    <s v="Tai"/>
    <s v="Tran Minh"/>
    <s v="TRAN MINH TAI"/>
    <x v="6"/>
    <x v="4"/>
    <x v="3"/>
    <s v="New"/>
    <s v="The"/>
    <x v="6"/>
    <s v="The"/>
    <n v="1"/>
    <m/>
    <d v="2018-04-10T00:00:00"/>
    <d v="3000-01-01T00:00:00"/>
    <n v="0"/>
    <s v="tmtai@tma.com.vn"/>
    <m/>
    <s v="Subcontracting"/>
  </r>
  <r>
    <x v="46"/>
    <s v="CA0175485"/>
    <n v="69080305"/>
    <s v="qnhattra"/>
    <s v="Quang"/>
    <s v="Tran"/>
    <s v="Quang NHAT TRAN"/>
    <x v="6"/>
    <x v="4"/>
    <x v="3"/>
    <s v="New"/>
    <s v="The"/>
    <x v="4"/>
    <s v="The"/>
    <n v="1"/>
    <s v="IDM/SDC"/>
    <d v="2016-01-25T00:00:00"/>
    <d v="3000-01-01T00:00:00"/>
    <n v="1"/>
    <s v="trannhatquang@tma.com.vn"/>
    <m/>
    <s v="Subcontracting"/>
  </r>
  <r>
    <x v="43"/>
    <s v="CA0090915"/>
    <n v="69077376"/>
    <s v="kbaonguy"/>
    <s v="Khoi"/>
    <s v="Nguyen"/>
    <s v="NGUYEN BAO Khoi"/>
    <x v="6"/>
    <x v="4"/>
    <x v="3"/>
    <s v="Core"/>
    <s v="The"/>
    <x v="2"/>
    <s v="The"/>
    <n v="1"/>
    <s v="ImportExport"/>
    <d v="2013-04-10T00:00:00"/>
    <d v="3000-01-01T00:00:00"/>
    <n v="1"/>
    <s v="nbkhoi@tma.com.vn"/>
    <m/>
    <s v="Subcontracting"/>
  </r>
  <r>
    <x v="43"/>
    <s v="CA0036975"/>
    <n v="69076781"/>
    <s v="knguyenn"/>
    <s v="Khanh"/>
    <s v="Nguyen"/>
    <s v="NGUYEN NHAT Khanh"/>
    <x v="6"/>
    <x v="4"/>
    <x v="3"/>
    <s v="Core"/>
    <s v="The"/>
    <x v="2"/>
    <s v="The"/>
    <n v="1"/>
    <s v="ImportExport"/>
    <d v="2011-08-18T00:00:00"/>
    <d v="3000-01-01T00:00:00"/>
    <n v="1"/>
    <s v="nnhatkhanh@tma.com.vn"/>
    <m/>
    <s v="Subcontracting"/>
  </r>
  <r>
    <x v="43"/>
    <s v="CA0190365 "/>
    <n v="69087452"/>
    <s v="tlenhatd "/>
    <s v="Thanh"/>
    <s v="Do"/>
    <s v="Thanh LE NHAT DO"/>
    <x v="6"/>
    <x v="4"/>
    <x v="3"/>
    <s v="Core"/>
    <s v="The"/>
    <x v="8"/>
    <s v="The"/>
    <n v="1"/>
    <s v="ImportExport"/>
    <d v="2010-08-19T00:00:00"/>
    <d v="3000-01-01T00:00:00"/>
    <n v="1"/>
    <s v="dlnthanh@tma.com.vn"/>
    <m/>
    <s v="Subcontracting"/>
  </r>
  <r>
    <x v="55"/>
    <s v="CA0053424"/>
    <n v="69077003"/>
    <s v="tkimdang"/>
    <s v="Thuy"/>
    <s v="Dang"/>
    <s v="KIM DANGTHI Thuy"/>
    <x v="6"/>
    <x v="4"/>
    <x v="9"/>
    <s v="Core"/>
    <s v="The"/>
    <x v="2"/>
    <s v="The"/>
    <n v="1"/>
    <s v="Automation for APC/WebUI"/>
    <d v="2012-04-03T00:00:00"/>
    <d v="3000-01-01T00:00:00"/>
    <n v="1"/>
    <s v="dtkthuy@tma.com.vn"/>
    <m/>
    <s v="Subcontracting"/>
  </r>
  <r>
    <x v="46"/>
    <s v="CA0218794"/>
    <n v="69110989"/>
    <s v="hhaphing"/>
    <s v="Hung"/>
    <s v="Nguyen"/>
    <s v="Ha Phi Nguyen Hung"/>
    <x v="6"/>
    <x v="4"/>
    <x v="3"/>
    <s v="New"/>
    <s v="The"/>
    <x v="4"/>
    <s v="The"/>
    <n v="1"/>
    <m/>
    <d v="2017-10-12T00:00:00"/>
    <d v="3000-01-01T00:00:00"/>
    <n v="1"/>
    <s v=" nhphihung@tma.com.vn"/>
    <m/>
    <s v="Subcontracting"/>
  </r>
  <r>
    <x v="48"/>
    <s v="CA0172525"/>
    <n v="69080092"/>
    <s v="qhoaipha"/>
    <s v="Quoc"/>
    <s v="Phan"/>
    <s v="Quoc HOAI PHAN"/>
    <x v="6"/>
    <x v="4"/>
    <x v="3"/>
    <s v="New"/>
    <s v="The"/>
    <x v="6"/>
    <s v="The"/>
    <n v="1"/>
    <s v="TL1/ANV dev, Started only on 26 -Feb-16"/>
    <d v="2015-09-11T00:00:00"/>
    <d v="3000-01-01T00:00:00"/>
    <n v="1"/>
    <s v="phquoc@tma.com.vn"/>
    <m/>
    <s v="Subcontracting"/>
  </r>
  <r>
    <x v="45"/>
    <s v="CA0169445"/>
    <n v="69079914"/>
    <s v="thuutang"/>
    <s v="Toan"/>
    <s v="Tang"/>
    <s v="Toan HUU TANG"/>
    <x v="6"/>
    <x v="4"/>
    <x v="3"/>
    <s v="Core"/>
    <s v="The"/>
    <x v="7"/>
    <s v="The"/>
    <n v="1"/>
    <s v="Moved from PM/TS"/>
    <d v="2015-07-24T00:00:00"/>
    <d v="3000-01-01T00:00:00"/>
    <n v="1"/>
    <s v="pducduy@tma.com.vn"/>
    <m/>
    <s v="Subcontracting"/>
  </r>
  <r>
    <x v="45"/>
    <s v="CA0037533"/>
    <n v="69076801"/>
    <s v="tvinhtra"/>
    <s v="Thuan"/>
    <s v="Tran"/>
    <s v="VINH TRAN Thuan"/>
    <x v="6"/>
    <x v="4"/>
    <x v="3"/>
    <s v="Core"/>
    <s v="The"/>
    <x v="7"/>
    <s v="The"/>
    <n v="1"/>
    <s v="Moved to APC Core Dev"/>
    <d v="2011-08-30T00:00:00"/>
    <d v="3000-01-01T00:00:00"/>
    <n v="1"/>
    <s v="tvthuan@tma.com.vn"/>
    <m/>
    <s v="Subcontracting"/>
  </r>
  <r>
    <x v="45"/>
    <s v="CA0007834"/>
    <n v="69076459"/>
    <s v="taivann"/>
    <s v="Tai"/>
    <s v="Nguyen"/>
    <s v="NGUYEN Tai Van"/>
    <x v="6"/>
    <x v="4"/>
    <x v="3"/>
    <s v="Core"/>
    <s v="The"/>
    <x v="2"/>
    <s v="The"/>
    <n v="1"/>
    <s v="TL1"/>
    <d v="2010-10-04T00:00:00"/>
    <d v="3000-01-01T00:00:00"/>
    <n v="1"/>
    <s v="nvtai@tma.com.vn"/>
    <m/>
    <s v="Subcontracting"/>
  </r>
  <r>
    <x v="47"/>
    <s v="CA0192946"/>
    <n v="69089868"/>
    <s v="tquangng"/>
    <s v="Tan"/>
    <s v="Nguyen"/>
    <s v="Tan QUANG NGOC NGUYEN"/>
    <x v="6"/>
    <x v="4"/>
    <x v="3"/>
    <s v="New"/>
    <s v="The"/>
    <x v="4"/>
    <s v="The"/>
    <n v="1"/>
    <s v="Template/NP"/>
    <d v="2016-12-12T00:00:00"/>
    <d v="3000-01-01T00:00:00"/>
    <n v="1"/>
    <s v="nqntan@tma.com.vn"/>
    <m/>
    <s v="Subcontracting"/>
  </r>
  <r>
    <x v="48"/>
    <s v="AAT017572"/>
    <n v="69075607"/>
    <s v="phuongl"/>
    <s v="Phuong"/>
    <s v="Le"/>
    <s v="LE Phuong"/>
    <x v="6"/>
    <x v="4"/>
    <x v="3"/>
    <s v="New"/>
    <s v="The"/>
    <x v="5"/>
    <s v="The"/>
    <n v="1"/>
    <m/>
    <d v="2010-07-23T00:00:00"/>
    <d v="3000-01-01T00:00:00"/>
    <n v="1"/>
    <s v="lphuong@tma.com.vn"/>
    <m/>
    <s v="Subcontracting"/>
  </r>
  <r>
    <x v="26"/>
    <s v="CA0199621"/>
    <n v="69093696"/>
    <s v="thoangng"/>
    <s v="Thach"/>
    <s v="Nguyen"/>
    <s v="HOANG NGUYEN Thach"/>
    <x v="6"/>
    <x v="4"/>
    <x v="6"/>
    <s v="New"/>
    <s v="The"/>
    <x v="6"/>
    <s v="The"/>
    <n v="1"/>
    <s v="Reserve Dev, SET team member"/>
    <d v="2017-08-06T00:00:00"/>
    <d v="3000-01-01T00:00:00"/>
    <n v="1"/>
    <s v="nhoangthach@tma.com.vn"/>
    <m/>
    <s v="Subcontracting"/>
  </r>
  <r>
    <x v="51"/>
    <s v="CA0137425"/>
    <n v="69078417"/>
    <s v="dhuunguy"/>
    <s v="Dong"/>
    <s v="Nguyen"/>
    <s v="HUU NGUYEN Dong"/>
    <x v="6"/>
    <x v="4"/>
    <x v="6"/>
    <s v="Plug"/>
    <s v="The"/>
    <x v="7"/>
    <s v="The"/>
    <n v="1"/>
    <s v="APC Plug tester"/>
    <d v="2014-07-23T00:00:00"/>
    <d v="3000-01-01T00:00:00"/>
    <n v="1"/>
    <s v="nhdong@tma.com.vn"/>
    <m/>
    <s v="Subcontracting"/>
  </r>
  <r>
    <x v="51"/>
    <s v="CA0141434"/>
    <n v="69078574"/>
    <s v="mhuunguy"/>
    <s v="Manh"/>
    <s v="Nguyen"/>
    <s v="HUU NGUYEN Manh"/>
    <x v="6"/>
    <x v="4"/>
    <x v="6"/>
    <s v="Plug"/>
    <s v="The"/>
    <x v="7"/>
    <s v="The"/>
    <n v="1"/>
    <s v="APC Plug tester"/>
    <d v="2014-09-09T00:00:00"/>
    <d v="3000-01-01T00:00:00"/>
    <n v="1"/>
    <s v="nhmanh@tma.com.vn"/>
    <m/>
    <s v="Subcontracting"/>
  </r>
  <r>
    <x v="56"/>
    <s v="CA0138085"/>
    <n v="69078418"/>
    <s v="tquocpha"/>
    <s v="Tuan"/>
    <s v="Phan"/>
    <s v="QUOC PHAN Tuan"/>
    <x v="6"/>
    <x v="4"/>
    <x v="6"/>
    <s v="Core"/>
    <s v="The"/>
    <x v="2"/>
    <s v="The"/>
    <n v="1"/>
    <s v="APPs Tester"/>
    <d v="2014-07-07T00:00:00"/>
    <d v="3000-01-01T00:00:00"/>
    <n v="1"/>
    <s v="pquoctuan@tma.com.vn"/>
    <m/>
    <s v="Subcontracting"/>
  </r>
  <r>
    <x v="47"/>
    <s v="CA0143950"/>
    <n v="69078704"/>
    <s v="lquangng"/>
    <s v="Loc"/>
    <s v="Nguyen"/>
    <s v="QUANG NGUYEN Loc"/>
    <x v="6"/>
    <x v="4"/>
    <x v="3"/>
    <s v="New"/>
    <s v="The"/>
    <x v="4"/>
    <s v="The"/>
    <n v="1"/>
    <s v="APPs Tester"/>
    <d v="2014-10-06T00:00:00"/>
    <d v="3000-01-01T00:00:00"/>
    <n v="1"/>
    <s v="nqloc@tma.com.vn"/>
    <m/>
    <s v="Subcontracting"/>
  </r>
  <r>
    <x v="56"/>
    <s v="CA0144650"/>
    <n v="69078745"/>
    <s v="nainguye"/>
    <s v="Nhan"/>
    <s v="Nguyen"/>
    <s v="Nguyen Ai Nhan"/>
    <x v="6"/>
    <x v="4"/>
    <x v="6"/>
    <s v="Core"/>
    <s v="The"/>
    <x v="2"/>
    <s v="The"/>
    <n v="1"/>
    <s v="APPs Tester"/>
    <d v="2014-10-13T00:00:00"/>
    <d v="3000-01-01T00:00:00"/>
    <n v="1"/>
    <s v="nanhan@tma.com.vn"/>
    <m/>
    <s v="Subcontracting"/>
  </r>
  <r>
    <x v="50"/>
    <s v="CA0141027"/>
    <n v="69078552"/>
    <s v="nhoaile"/>
    <s v="Nam"/>
    <s v="Le"/>
    <s v="HOAI LE Nam"/>
    <x v="6"/>
    <x v="4"/>
    <x v="6"/>
    <s v="Core"/>
    <s v="The"/>
    <x v="7"/>
    <s v="The"/>
    <n v="1"/>
    <s v="APC core tester"/>
    <d v="2014-09-03T00:00:00"/>
    <d v="3000-01-01T00:00:00"/>
    <n v="1"/>
    <s v="lhoainam@tma.com.vn"/>
    <m/>
    <s v="Subcontracting"/>
  </r>
  <r>
    <x v="24"/>
    <s v="CA0007830"/>
    <n v="69076458"/>
    <s v="manvann"/>
    <s v="Man"/>
    <s v="Nguyen"/>
    <s v="NGUYEN Man Van"/>
    <x v="6"/>
    <x v="4"/>
    <x v="6"/>
    <s v="Plug"/>
    <s v="The"/>
    <x v="2"/>
    <s v="The"/>
    <n v="1"/>
    <s v="G6/EPON/Docsis/IDM"/>
    <d v="2010-09-01T00:00:00"/>
    <d v="3000-01-01T00:00:00"/>
    <n v="1"/>
    <s v="nvman@tma.com.vn"/>
    <m/>
    <s v="Subcontracting"/>
  </r>
  <r>
    <x v="24"/>
    <s v="CA0139285"/>
    <n v="69078479"/>
    <s v="pvunguye"/>
    <s v="Phong"/>
    <s v="Nguyen"/>
    <s v="VU NGUYEN Phong"/>
    <x v="6"/>
    <x v="4"/>
    <x v="6"/>
    <s v="Plug"/>
    <s v="The"/>
    <x v="2"/>
    <s v="The"/>
    <n v="1"/>
    <s v="G6/EPON/Docsis/IDM"/>
    <d v="2014-08-11T00:00:00"/>
    <d v="3000-01-01T00:00:00"/>
    <n v="1"/>
    <s v="nvuphong@tma.com.vn"/>
    <m/>
    <s v="Subcontracting"/>
  </r>
  <r>
    <x v="24"/>
    <s v="CA0140930"/>
    <n v="69078550"/>
    <s v="thieule"/>
    <s v="Trung"/>
    <s v="Le"/>
    <s v="HIEU LE Trung"/>
    <x v="6"/>
    <x v="4"/>
    <x v="6"/>
    <s v="Plug"/>
    <s v="The"/>
    <x v="2"/>
    <s v="The"/>
    <n v="1"/>
    <s v="G6/EPON/Docsis/IDM"/>
    <d v="2014-08-28T00:00:00"/>
    <d v="3000-01-01T00:00:00"/>
    <n v="1"/>
    <s v="lhieutrung@tma.com.vn"/>
    <m/>
    <s v="Subcontracting"/>
  </r>
  <r>
    <x v="24"/>
    <s v="CA0143908"/>
    <n v="69078702"/>
    <s v="hhongngu"/>
    <s v="Hao"/>
    <s v="Nguyen"/>
    <s v="HONG NGUYEN Hao"/>
    <x v="6"/>
    <x v="4"/>
    <x v="6"/>
    <s v="Plug"/>
    <s v="The"/>
    <x v="2"/>
    <s v="The"/>
    <n v="1"/>
    <s v="G6/EPON/Docsis/IDM"/>
    <d v="2014-09-26T00:00:00"/>
    <d v="3000-01-01T00:00:00"/>
    <n v="1"/>
    <s v="nhhao@tma.com.vn"/>
    <m/>
    <s v="Subcontracting"/>
  </r>
  <r>
    <x v="56"/>
    <s v="CA0171027"/>
    <n v="69080019"/>
    <s v="ethihua"/>
    <s v="En"/>
    <s v="Hua"/>
    <s v="En THI HUA"/>
    <x v="6"/>
    <x v="4"/>
    <x v="6"/>
    <s v="Core"/>
    <s v="The"/>
    <x v="2"/>
    <s v="The"/>
    <n v="1"/>
    <s v="APPs Tester"/>
    <d v="2016-01-25T00:00:00"/>
    <d v="3000-01-01T00:00:00"/>
    <n v="1"/>
    <s v="hten@tma.com.vn"/>
    <m/>
    <s v="Subcontracting"/>
  </r>
  <r>
    <x v="43"/>
    <s v="CA0092232"/>
    <n v="69077391"/>
    <s v="lxuantra"/>
    <s v="Loc"/>
    <s v="Tran"/>
    <s v="XUAN TRAN Loc"/>
    <x v="6"/>
    <x v="4"/>
    <x v="3"/>
    <s v="Core"/>
    <s v="The"/>
    <x v="2"/>
    <s v="The"/>
    <n v="1"/>
    <s v="Alarms"/>
    <d v="2013-04-26T00:00:00"/>
    <d v="2018-03-09T00:00:00"/>
    <n v="0"/>
    <s v="txloc@tma.com.vn"/>
    <m/>
    <s v="Subcontracting"/>
  </r>
  <r>
    <x v="43"/>
    <m/>
    <n v="69110998"/>
    <m/>
    <s v="Thuong"/>
    <s v="Ngo"/>
    <s v="Ngo Ngoc My Thuong"/>
    <x v="6"/>
    <x v="4"/>
    <x v="3"/>
    <s v="Core"/>
    <s v="The"/>
    <x v="2"/>
    <s v="The"/>
    <n v="1"/>
    <s v="Alarms"/>
    <d v="2018-03-10T00:00:00"/>
    <d v="3000-01-01T00:00:00"/>
    <n v="1"/>
    <m/>
    <m/>
    <s v="Subcontracting"/>
  </r>
  <r>
    <x v="56"/>
    <s v="CA0195908"/>
    <n v="69091585"/>
    <s v="angocngu"/>
    <s v="An"/>
    <s v="Nguyen"/>
    <s v="An NGOC NGUYEN"/>
    <x v="6"/>
    <x v="4"/>
    <x v="6"/>
    <s v="Core"/>
    <s v="The"/>
    <x v="2"/>
    <s v="The"/>
    <n v="1"/>
    <s v="APPs Tester"/>
    <d v="2016-12-16T00:00:00"/>
    <d v="3000-01-01T00:00:00"/>
    <n v="1"/>
    <s v="nnan@tma.com.vn"/>
    <m/>
    <s v="Subcontracting"/>
  </r>
  <r>
    <x v="4"/>
    <s v="CA0183569"/>
    <n v="69083008"/>
    <s v="trvanngu"/>
    <s v="Trang"/>
    <s v="Nguyen"/>
    <s v="Trang VAN NGUYEN"/>
    <x v="6"/>
    <x v="4"/>
    <x v="3"/>
    <s v="Plug"/>
    <s v="The"/>
    <x v="2"/>
    <s v="The"/>
    <n v="1"/>
    <s v="Plug Dev"/>
    <d v="2016-02-01T00:00:00"/>
    <d v="3000-01-01T00:00:00"/>
    <n v="1"/>
    <s v="nvtrang@tma.com.vn"/>
    <m/>
    <s v="Subcontracting"/>
  </r>
  <r>
    <x v="49"/>
    <s v="CA0025397"/>
    <n v="69076647"/>
    <s v="aphamtua"/>
    <s v="Anh"/>
    <s v="Pham"/>
    <s v="PHAM TUAN Anh"/>
    <x v="6"/>
    <x v="4"/>
    <x v="3"/>
    <s v="Plug"/>
    <s v="The"/>
    <x v="7"/>
    <s v="The"/>
    <n v="1"/>
    <s v="APC plug dev"/>
    <d v="2011-04-14T00:00:00"/>
    <d v="3000-01-01T00:00:00"/>
    <n v="1"/>
    <s v="ptuananh@tma.com.vn"/>
    <m/>
    <s v="Subcontracting"/>
  </r>
  <r>
    <x v="46"/>
    <s v="CA0178368"/>
    <n v="69080642"/>
    <s v="dthanhtr "/>
    <s v="Dien"/>
    <s v="Tran"/>
    <s v="Dien THANH TRAN"/>
    <x v="6"/>
    <x v="4"/>
    <x v="3"/>
    <s v="New"/>
    <s v="The"/>
    <x v="4"/>
    <s v="The"/>
    <n v="1"/>
    <s v="Plug Dev"/>
    <d v="2015-11-19T00:00:00"/>
    <d v="3000-01-01T00:00:00"/>
    <n v="1"/>
    <s v="ttdien@tma.com.vn "/>
    <m/>
    <s v="Subcontracting"/>
  </r>
  <r>
    <x v="4"/>
    <s v="AAT017559"/>
    <n v="69075606"/>
    <s v="hieun"/>
    <s v="Hieu"/>
    <s v="Nguyen"/>
    <s v="NGUYEN Hieu TRUNG "/>
    <x v="6"/>
    <x v="4"/>
    <x v="3"/>
    <s v="Plug"/>
    <s v="The"/>
    <x v="2"/>
    <s v="The"/>
    <n v="1"/>
    <s v="Plug Dev, IA for Plugs G6"/>
    <d v="2010-03-23T00:00:00"/>
    <d v="3000-01-01T00:00:00"/>
    <n v="1"/>
    <s v="ntrunghieu@tma.com.vn"/>
    <m/>
    <s v="Subcontracting"/>
  </r>
  <r>
    <x v="52"/>
    <s v="CA0150246"/>
    <n v="69078976"/>
    <s v="tanhdang"/>
    <s v="Tuan"/>
    <s v="Dang"/>
    <s v="ANH DANG Tuan"/>
    <x v="6"/>
    <x v="4"/>
    <x v="3"/>
    <s v="Core"/>
    <s v="The"/>
    <x v="2"/>
    <s v="The"/>
    <n v="1"/>
    <s v="Platform"/>
    <d v="2014-12-23T00:00:00"/>
    <d v="3000-01-01T00:00:00"/>
    <n v="1"/>
    <s v="danganhtuan@tma.com.vn"/>
    <m/>
    <s v="Subcontracting"/>
  </r>
  <r>
    <x v="54"/>
    <s v="AAT017530"/>
    <n v="69075598"/>
    <s v="toc"/>
    <s v="To"/>
    <s v="Chau"/>
    <s v="CHAU To KINH"/>
    <x v="6"/>
    <x v="4"/>
    <x v="3"/>
    <s v="Core"/>
    <s v="The"/>
    <x v="2"/>
    <s v="The"/>
    <n v="0.5"/>
    <s v="SwMgmt -  IA role"/>
    <d v="2009-05-19T00:00:00"/>
    <d v="3000-01-01T00:00:00"/>
    <n v="0.5"/>
    <s v="ckto@tma.com.vn"/>
    <m/>
    <s v="Subcontracting"/>
  </r>
  <r>
    <x v="54"/>
    <s v="AAT017530"/>
    <n v="69075598"/>
    <s v="toc"/>
    <s v="To"/>
    <s v="Chau"/>
    <s v="CHAU To KINH"/>
    <x v="6"/>
    <x v="4"/>
    <x v="3"/>
    <s v="New"/>
    <s v="The"/>
    <x v="4"/>
    <s v="The"/>
    <n v="0.5"/>
    <s v="SW Mgt support for AV"/>
    <d v="2009-05-19T00:00:00"/>
    <d v="3000-01-01T00:00:00"/>
    <n v="0.5"/>
    <s v="ckto@tma.com.vn"/>
    <m/>
    <s v="Subcontracting"/>
  </r>
  <r>
    <x v="47"/>
    <s v="CA0102306"/>
    <n v="69077562"/>
    <s v="thaipham"/>
    <s v="Trieu"/>
    <s v="Pham"/>
    <s v="HAI PHAM Trieu"/>
    <x v="6"/>
    <x v="4"/>
    <x v="3"/>
    <s v="New"/>
    <s v="The"/>
    <x v="4"/>
    <s v="The"/>
    <n v="1"/>
    <s v="Moved from PM/TS"/>
    <d v="2013-08-06T00:00:00"/>
    <d v="3000-01-01T00:00:00"/>
    <n v="1"/>
    <s v="phaitrieu@tma.com.vn"/>
    <m/>
    <s v="Subcontracting"/>
  </r>
  <r>
    <x v="54"/>
    <s v="CA0153488"/>
    <n v="69079137"/>
    <s v="mchanbac"/>
    <s v="Minh"/>
    <s v="Bach"/>
    <s v="Minh CHAN BACH"/>
    <x v="6"/>
    <x v="4"/>
    <x v="3"/>
    <s v="Core"/>
    <s v="The"/>
    <x v="2"/>
    <s v="The"/>
    <n v="1"/>
    <m/>
    <d v="2015-02-09T00:00:00"/>
    <d v="3000-01-01T00:00:00"/>
    <n v="1"/>
    <s v="bcminh@tma.com.vn"/>
    <m/>
    <s v="Subcontracting"/>
  </r>
  <r>
    <x v="48"/>
    <s v="CA0123031"/>
    <n v="69078027"/>
    <s v="bphuocda"/>
    <s v="Binh"/>
    <s v="Dang"/>
    <s v="DANG PHUOC Binh"/>
    <x v="6"/>
    <x v="4"/>
    <x v="3"/>
    <s v="New"/>
    <s v="The"/>
    <x v="6"/>
    <s v="The"/>
    <n v="1"/>
    <s v="SwMgmt"/>
    <d v="2014-03-11T00:00:00"/>
    <d v="3000-01-01T00:00:00"/>
    <n v="1"/>
    <s v="dpbinh@tma.com.vn"/>
    <m/>
    <s v="Subcontracting"/>
  </r>
  <r>
    <x v="47"/>
    <s v="CA0226334"/>
    <n v="69125870"/>
    <s v="chungpha"/>
    <s v="Cuong"/>
    <s v="Phan"/>
    <s v="Cuong HUNG PHAN"/>
    <x v="6"/>
    <x v="4"/>
    <x v="3"/>
    <s v="New"/>
    <s v="The"/>
    <x v="4"/>
    <s v="The"/>
    <n v="1"/>
    <s v="NAV dev"/>
    <d v="2017-09-01T00:00:00"/>
    <d v="3000-01-01T00:00:00"/>
    <n v="1"/>
    <s v="phcuong@tma.com.vn "/>
    <m/>
    <s v="Subcontracting"/>
  </r>
  <r>
    <x v="0"/>
    <s v="AAT017506"/>
    <n v="69075593"/>
    <s v="thephamd"/>
    <s v="The"/>
    <s v="Dong"/>
    <s v="DONG The Pham THANH"/>
    <x v="6"/>
    <x v="4"/>
    <x v="0"/>
    <s v="Core"/>
    <s v="The"/>
    <x v="0"/>
    <s v="The"/>
    <n v="1"/>
    <s v="Team management"/>
    <d v="2008-04-15T00:00:00"/>
    <d v="3000-01-01T00:00:00"/>
    <n v="1"/>
    <s v="dptthe@tma.com.vn"/>
    <m/>
    <s v="Subcontracting"/>
  </r>
  <r>
    <x v="52"/>
    <s v="CA0192847"/>
    <n v="69089826"/>
    <s v="vmanhngu"/>
    <s v="Van"/>
    <s v="Nguyen"/>
    <s v="Van MANH NGUYEN"/>
    <x v="6"/>
    <x v="4"/>
    <x v="3"/>
    <s v="Core"/>
    <s v="The"/>
    <x v="9"/>
    <s v="The"/>
    <n v="1"/>
    <s v="OAD/NBI/HDM"/>
    <d v="2016-05-27T00:00:00"/>
    <d v="3000-01-01T00:00:00"/>
    <n v="1"/>
    <s v="nmvan@tma.com.vn "/>
    <m/>
    <s v="Subcontracting"/>
  </r>
  <r>
    <x v="47"/>
    <s v="CA0199618"/>
    <n v="69093689"/>
    <s v="dthaingu"/>
    <s v="Duy"/>
    <s v="Nguyen"/>
    <s v="Duy THAI NGUYEN"/>
    <x v="6"/>
    <x v="4"/>
    <x v="3"/>
    <s v="New"/>
    <s v="The"/>
    <x v="4"/>
    <s v="The"/>
    <n v="1"/>
    <s v="Moved to NAV from WebInfra"/>
    <d v="2016-12-16T00:00:00"/>
    <d v="3000-01-01T00:00:00"/>
    <n v="1"/>
    <s v="ntduy@tma.com.vn"/>
    <m/>
    <s v="Subcontracting"/>
  </r>
  <r>
    <x v="48"/>
    <s v="CA0144648"/>
    <n v="69078743"/>
    <s v="ptamnguy"/>
    <s v="Phuong"/>
    <s v="Nguyen"/>
    <s v="TAM NGUYEN Phuong"/>
    <x v="6"/>
    <x v="4"/>
    <x v="3"/>
    <s v="New"/>
    <s v="The"/>
    <x v="6"/>
    <s v="The"/>
    <n v="1"/>
    <s v="Moved to NAC from WebInfra"/>
    <d v="2011-08-25T00:00:00"/>
    <d v="3000-01-01T00:00:00"/>
    <n v="1"/>
    <s v="ntamphuong@tma.com.vn"/>
    <m/>
    <s v="Subcontracting"/>
  </r>
  <r>
    <x v="56"/>
    <s v="CA0179226"/>
    <n v="69080754"/>
    <s v="dcongluo"/>
    <s v="Doan"/>
    <s v="Luong"/>
    <s v="CONG LUONG Doan"/>
    <x v="6"/>
    <x v="4"/>
    <x v="6"/>
    <s v="Core"/>
    <s v="The"/>
    <x v="2"/>
    <s v="The"/>
    <n v="1"/>
    <m/>
    <d v="2015-11-27T00:00:00"/>
    <d v="3000-01-01T00:00:00"/>
    <n v="1"/>
    <s v="lcdoan@tma.com.vn"/>
    <m/>
    <s v="Subcontracting"/>
  </r>
  <r>
    <x v="56"/>
    <s v="CA0181151"/>
    <n v="69080882"/>
    <s v="anguyenq"/>
    <s v="Anh"/>
    <s v="Nguyen"/>
    <s v="NGUYEN QUYEN Anh"/>
    <x v="6"/>
    <x v="4"/>
    <x v="6"/>
    <s v="Core"/>
    <s v="The"/>
    <x v="2"/>
    <s v="The"/>
    <n v="1"/>
    <m/>
    <d v="2015-12-17T00:00:00"/>
    <d v="3000-01-01T00:00:00"/>
    <n v="1"/>
    <s v="nquyenanh@tma.com.vn"/>
    <m/>
    <s v="Subcontracting"/>
  </r>
  <r>
    <x v="51"/>
    <s v="CA0180247"/>
    <n v="69080817"/>
    <s v="mtrungtr"/>
    <s v="Minh"/>
    <s v="Tran"/>
    <s v="TRUNG TRAN Minh"/>
    <x v="6"/>
    <x v="4"/>
    <x v="6"/>
    <s v="Plug"/>
    <s v="The"/>
    <x v="7"/>
    <s v="The"/>
    <n v="1"/>
    <m/>
    <d v="2015-12-09T00:00:00"/>
    <d v="3000-01-01T00:00:00"/>
    <n v="1"/>
    <s v="ttminh@tma.com.vn"/>
    <m/>
    <s v="Subcontracting"/>
  </r>
  <r>
    <x v="15"/>
    <s v="CA0182126"/>
    <n v="69082165"/>
    <s v="bhongkim"/>
    <s v="Bao"/>
    <s v="Nguyen"/>
    <s v="HONG KIM NGUYEN Bao"/>
    <x v="6"/>
    <x v="4"/>
    <x v="6"/>
    <s v="Plug"/>
    <s v="The"/>
    <x v="4"/>
    <s v="The"/>
    <n v="1"/>
    <m/>
    <d v="2015-12-22T00:00:00"/>
    <d v="3000-01-01T00:00:00"/>
    <n v="1"/>
    <s v="nhkbao@tma.com.vn"/>
    <m/>
    <s v="Subcontracting"/>
  </r>
  <r>
    <x v="13"/>
    <s v="CA0182125"/>
    <n v="69082164"/>
    <s v="htinle"/>
    <s v="Huy"/>
    <s v="Le"/>
    <s v="TIN LE Huy"/>
    <x v="6"/>
    <x v="4"/>
    <x v="6"/>
    <s v="Core"/>
    <s v="The"/>
    <x v="2"/>
    <s v="The"/>
    <n v="1"/>
    <m/>
    <d v="2015-12-22T00:00:00"/>
    <d v="3000-01-01T00:00:00"/>
    <n v="1"/>
    <s v="ltinhuy@tma.com.vn"/>
    <m/>
    <s v="Subcontracting"/>
  </r>
  <r>
    <x v="50"/>
    <s v="CA0181865"/>
    <n v="69082111"/>
    <s v="hvinhngu"/>
    <s v="Hung"/>
    <s v="Nguyen"/>
    <s v="Hung VINH NGUYEN"/>
    <x v="6"/>
    <x v="4"/>
    <x v="6"/>
    <s v="Core"/>
    <s v="The"/>
    <x v="7"/>
    <s v="The"/>
    <n v="1"/>
    <s v="APC core tester"/>
    <d v="2016-01-05T00:00:00"/>
    <d v="3000-01-01T00:00:00"/>
    <n v="1"/>
    <s v="nvinhhung@tma.com.vn"/>
    <m/>
    <s v="Subcontracting"/>
  </r>
  <r>
    <x v="37"/>
    <s v="CA0183571"/>
    <n v="69082991"/>
    <s v="tthoangan"/>
    <s v="An"/>
    <s v="Tran"/>
    <s v="TRAN THI HOANG An"/>
    <x v="6"/>
    <x v="4"/>
    <x v="6"/>
    <s v="Plug"/>
    <s v="The"/>
    <x v="2"/>
    <s v="The"/>
    <n v="1"/>
    <s v="ASB Plug Tester"/>
    <d v="2016-02-01T00:00:00"/>
    <d v="3000-01-01T00:00:00"/>
    <n v="1"/>
    <s v="tthoangan@tma.com.vn"/>
    <m/>
    <s v="Subcontracting"/>
  </r>
  <r>
    <x v="4"/>
    <s v="CA0183570"/>
    <n v="69082994"/>
    <s v="hngocngu"/>
    <s v="Hung"/>
    <s v="Nguyen"/>
    <s v="NGOC NGUYEN Hung"/>
    <x v="6"/>
    <x v="4"/>
    <x v="3"/>
    <s v="Plug"/>
    <s v="The"/>
    <x v="2"/>
    <s v="The"/>
    <n v="1"/>
    <s v="ASB Plug Dev"/>
    <d v="2016-02-01T00:00:00"/>
    <d v="3000-01-01T00:00:00"/>
    <n v="1"/>
    <s v="nnhung@tma.com.vn"/>
    <m/>
    <s v="Subcontracting"/>
  </r>
  <r>
    <x v="19"/>
    <s v="CA0042424"/>
    <n v="69076865"/>
    <s v="mthidoan"/>
    <s v="My"/>
    <s v="Doan"/>
    <s v="THI DOAN DOAN My"/>
    <x v="6"/>
    <x v="4"/>
    <x v="6"/>
    <s v="New"/>
    <s v="The"/>
    <x v="6"/>
    <s v="The"/>
    <n v="1"/>
    <s v="PM Test Lead after July 1, 2016, My on maternity leave from Mar 1, 2017"/>
    <d v="2011-11-15T00:00:00"/>
    <d v="3000-01-01T00:00:00"/>
    <n v="1"/>
    <s v="dtdmy@tma.com.vn"/>
    <m/>
    <s v="Subcontracting"/>
  </r>
  <r>
    <x v="42"/>
    <s v="CA0224366"/>
    <n v="69123482"/>
    <s v="nnguyenm"/>
    <s v="Nguyet"/>
    <s v="Huynh"/>
    <s v="Huynh Nguyen Minh Nguyet"/>
    <x v="6"/>
    <x v="4"/>
    <x v="3"/>
    <s v="Plug"/>
    <s v="The"/>
    <x v="2"/>
    <s v="The"/>
    <n v="1"/>
    <s v="NSB Plug dev"/>
    <d v="2017-08-02T00:00:00"/>
    <d v="3000-01-01T00:00:00"/>
    <n v="1"/>
    <s v="hnmnguyet@tma.com.vn"/>
    <m/>
    <s v="Subcontracting"/>
  </r>
  <r>
    <x v="28"/>
    <s v="CA0200550"/>
    <n v="69094448"/>
    <s v="dvando"/>
    <s v="Dat"/>
    <s v="Do"/>
    <s v="VAN DO Dat"/>
    <x v="6"/>
    <x v="4"/>
    <x v="6"/>
    <s v="New"/>
    <s v="The"/>
    <x v="4"/>
    <s v="The"/>
    <n v="1"/>
    <m/>
    <d v="2017-03-01T00:00:00"/>
    <d v="3000-01-01T00:00:00"/>
    <n v="1"/>
    <s v="dvandat@tma.com.vn"/>
    <m/>
    <s v="Subcontracting"/>
  </r>
  <r>
    <x v="46"/>
    <s v="CA0144647"/>
    <n v="69078742"/>
    <s v="tminhdo"/>
    <s v="Tuan"/>
    <s v="Do"/>
    <s v="Do Minh Tuan"/>
    <x v="6"/>
    <x v="4"/>
    <x v="3"/>
    <s v="New"/>
    <s v="The"/>
    <x v="4"/>
    <s v="The"/>
    <n v="1"/>
    <s v="TL1/PMA/Netconf"/>
    <d v="2014-10-13T00:00:00"/>
    <d v="3000-01-01T00:00:00"/>
    <n v="1"/>
    <s v="dominhtuan@tma.com.vn"/>
    <m/>
    <s v="Subcontracting"/>
  </r>
  <r>
    <x v="54"/>
    <s v="CA0178367"/>
    <n v="69080641"/>
    <s v="phuoch"/>
    <s v="Phuoc"/>
    <s v="Nguyen"/>
    <s v="Phuoc HUU NGUYEN"/>
    <x v="6"/>
    <x v="4"/>
    <x v="3"/>
    <s v="Core"/>
    <s v="The"/>
    <x v="2"/>
    <s v="The"/>
    <n v="1"/>
    <s v="Scripting"/>
    <d v="2015-11-19T00:00:00"/>
    <d v="3000-01-01T00:00:00"/>
    <n v="1"/>
    <s v="nhphuoc@tma.com.vn "/>
    <m/>
    <s v="Subcontracting"/>
  </r>
  <r>
    <x v="44"/>
    <m/>
    <m/>
    <m/>
    <m/>
    <m/>
    <m/>
    <x v="7"/>
    <x v="5"/>
    <x v="10"/>
    <m/>
    <m/>
    <x v="14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J16" firstHeaderRow="1" firstDataRow="2" firstDataCol="1"/>
  <pivotFields count="22">
    <pivotField subtotalTop="0" showAll="0"/>
    <pivotField subtotalTop="0" showAll="0"/>
    <pivotField subtotalTop="0" showAll="0"/>
    <pivotField subtotalTop="0" showAll="0"/>
    <pivotField showAll="0"/>
    <pivotField showAll="0"/>
    <pivotField subtotalTop="0" showAll="0"/>
    <pivotField axis="axisCol" subtotalTop="0" showAll="0">
      <items count="9">
        <item x="1"/>
        <item x="4"/>
        <item x="3"/>
        <item x="0"/>
        <item x="5"/>
        <item x="2"/>
        <item x="6"/>
        <item x="7"/>
        <item t="default"/>
      </items>
    </pivotField>
    <pivotField subtotalTop="0" showAll="0"/>
    <pivotField axis="axisRow" subtotalTop="0" showAll="0">
      <items count="12">
        <item x="9"/>
        <item x="3"/>
        <item x="0"/>
        <item x="4"/>
        <item x="5"/>
        <item x="1"/>
        <item x="8"/>
        <item x="6"/>
        <item x="2"/>
        <item x="7"/>
        <item x="10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4" subtotalTop="0" showAll="0"/>
    <pivotField numFmtId="14" subtotalTop="0" showAll="0"/>
    <pivotField dataField="1" subtotalTop="0" showAll="0"/>
    <pivotField subtotalTop="0" showAll="0"/>
    <pivotField subtotalTop="0" showAll="0"/>
    <pivotField subtotalTop="0" showAll="0"/>
  </pivotFields>
  <rowFields count="1">
    <field x="9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7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Act Alloc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8:J98" firstHeaderRow="1" firstDataRow="2" firstDataCol="1"/>
  <pivotFields count="22">
    <pivotField axis="axisRow" subtotalTop="0" showAll="0">
      <items count="59">
        <item x="39"/>
        <item x="55"/>
        <item x="9"/>
        <item x="40"/>
        <item x="42"/>
        <item x="5"/>
        <item x="3"/>
        <item x="10"/>
        <item x="14"/>
        <item x="4"/>
        <item x="43"/>
        <item x="54"/>
        <item x="52"/>
        <item x="53"/>
        <item x="31"/>
        <item x="49"/>
        <item x="45"/>
        <item x="36"/>
        <item x="48"/>
        <item x="7"/>
        <item x="25"/>
        <item x="12"/>
        <item x="23"/>
        <item x="22"/>
        <item x="30"/>
        <item x="8"/>
        <item x="47"/>
        <item x="46"/>
        <item x="35"/>
        <item x="29"/>
        <item x="1"/>
        <item x="57"/>
        <item x="0"/>
        <item x="6"/>
        <item x="17"/>
        <item x="41"/>
        <item x="37"/>
        <item x="38"/>
        <item x="15"/>
        <item x="13"/>
        <item x="56"/>
        <item x="33"/>
        <item x="24"/>
        <item x="16"/>
        <item x="50"/>
        <item x="51"/>
        <item x="27"/>
        <item x="26"/>
        <item x="19"/>
        <item x="18"/>
        <item x="28"/>
        <item x="11"/>
        <item x="2"/>
        <item x="20"/>
        <item x="21"/>
        <item x="32"/>
        <item x="34"/>
        <item x="44"/>
        <item t="default"/>
      </items>
    </pivotField>
    <pivotField subtotalTop="0" showAll="0"/>
    <pivotField subtotalTop="0" showAll="0"/>
    <pivotField subtotalTop="0" showAll="0"/>
    <pivotField showAll="0"/>
    <pivotField showAll="0"/>
    <pivotField subtotalTop="0" showAll="0"/>
    <pivotField axis="axisCol" subtotalTop="0" showAll="0">
      <items count="9">
        <item x="1"/>
        <item x="4"/>
        <item x="3"/>
        <item x="0"/>
        <item x="5"/>
        <item x="2"/>
        <item x="6"/>
        <item x="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4" subtotalTop="0" showAll="0"/>
    <pivotField numFmtId="14" subtotalTop="0" showAll="0"/>
    <pivotField dataField="1" subtotalTop="0" showAll="0"/>
    <pivotField subtotalTop="0" showAll="0"/>
    <pivotField subtotalTop="0" showAll="0"/>
    <pivotField subtotalTop="0"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7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Act Alloc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8:H31" firstHeaderRow="1" firstDataRow="2" firstDataCol="1"/>
  <pivotFields count="22">
    <pivotField subtotalTop="0" showAll="0"/>
    <pivotField subtotalTop="0" showAll="0"/>
    <pivotField subtotalTop="0" showAll="0"/>
    <pivotField subtotalTop="0" showAll="0"/>
    <pivotField showAll="0"/>
    <pivotField showAll="0"/>
    <pivotField subtotalTop="0" showAll="0"/>
    <pivotField subtotalTop="0" showAll="0"/>
    <pivotField axis="axisCol" subtotalTop="0" showAll="0">
      <items count="7">
        <item x="2"/>
        <item x="0"/>
        <item x="3"/>
        <item x="1"/>
        <item x="4"/>
        <item x="5"/>
        <item t="default"/>
      </items>
    </pivotField>
    <pivotField axis="axisRow" subtotalTop="0" showAll="0">
      <items count="12">
        <item x="9"/>
        <item x="3"/>
        <item x="0"/>
        <item x="4"/>
        <item x="5"/>
        <item x="1"/>
        <item x="8"/>
        <item x="6"/>
        <item x="2"/>
        <item x="7"/>
        <item x="10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4" subtotalTop="0" showAll="0"/>
    <pivotField numFmtId="14" subtotalTop="0" showAll="0"/>
    <pivotField dataField="1" subtotalTop="0" showAll="0"/>
    <pivotField subtotalTop="0" showAll="0"/>
    <pivotField subtotalTop="0" showAll="0"/>
    <pivotField subtotalTop="0" showAll="0"/>
  </pivotFields>
  <rowFields count="1">
    <field x="9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Act Alloc" fld="18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2"/>
  <sheetViews>
    <sheetView zoomScale="85" zoomScaleNormal="85" workbookViewId="0">
      <pane ySplit="1" topLeftCell="A2" activePane="bottomLeft" state="frozen"/>
      <selection pane="bottomLeft" activeCell="C12" sqref="C12"/>
    </sheetView>
  </sheetViews>
  <sheetFormatPr baseColWidth="10" defaultColWidth="12.83203125" defaultRowHeight="13"/>
  <cols>
    <col min="1" max="1" width="11.1640625" style="36" customWidth="1"/>
    <col min="2" max="2" width="12.83203125" customWidth="1"/>
    <col min="3" max="3" width="30.1640625" style="48" customWidth="1"/>
    <col min="4" max="4" width="14.5" customWidth="1"/>
    <col min="5" max="5" width="13.83203125" customWidth="1"/>
    <col min="6" max="6" width="14.5" bestFit="1" customWidth="1"/>
    <col min="7" max="7" width="28.83203125" customWidth="1"/>
    <col min="8" max="8" width="12.5" style="43" bestFit="1" customWidth="1"/>
    <col min="9" max="9" width="16.5" style="39" customWidth="1"/>
    <col min="10" max="10" width="25.1640625" style="20" customWidth="1"/>
    <col min="11" max="11" width="18.1640625" style="15" customWidth="1"/>
  </cols>
  <sheetData>
    <row r="1" spans="1:11" s="54" customFormat="1" ht="14">
      <c r="A1" s="37" t="s">
        <v>105</v>
      </c>
      <c r="B1" s="7" t="s">
        <v>147</v>
      </c>
      <c r="C1" s="49" t="s">
        <v>8</v>
      </c>
      <c r="D1" s="7" t="s">
        <v>9</v>
      </c>
      <c r="E1" s="7" t="s">
        <v>10</v>
      </c>
      <c r="F1" s="7" t="s">
        <v>21</v>
      </c>
      <c r="G1" s="8" t="s">
        <v>1</v>
      </c>
      <c r="H1" s="44" t="s">
        <v>22</v>
      </c>
      <c r="I1" s="40" t="s">
        <v>23</v>
      </c>
      <c r="J1" s="18" t="s">
        <v>27</v>
      </c>
      <c r="K1" s="6" t="s">
        <v>148</v>
      </c>
    </row>
    <row r="2" spans="1:11" s="56" customFormat="1" ht="16.5" customHeight="1">
      <c r="A2" s="38" t="s">
        <v>118</v>
      </c>
      <c r="B2" s="5"/>
      <c r="C2" s="47"/>
      <c r="D2" s="11"/>
      <c r="E2" s="11"/>
      <c r="F2" s="47"/>
      <c r="G2" s="55"/>
      <c r="H2" s="41">
        <v>43283</v>
      </c>
      <c r="I2" s="42">
        <v>401769</v>
      </c>
      <c r="J2" s="46" t="s">
        <v>108</v>
      </c>
      <c r="K2" s="1" t="s">
        <v>40</v>
      </c>
    </row>
    <row r="3" spans="1:11" s="54" customFormat="1" ht="16.5" customHeight="1">
      <c r="A3" s="38" t="s">
        <v>119</v>
      </c>
      <c r="B3" s="5"/>
      <c r="C3" s="47"/>
      <c r="D3" s="11"/>
      <c r="E3" s="1"/>
      <c r="F3" s="47"/>
      <c r="G3" s="1"/>
      <c r="H3" s="41">
        <v>43283</v>
      </c>
      <c r="I3" s="42">
        <v>401769</v>
      </c>
      <c r="J3" s="17" t="s">
        <v>37</v>
      </c>
      <c r="K3" s="1" t="s">
        <v>40</v>
      </c>
    </row>
    <row r="4" spans="1:11" s="54" customFormat="1" ht="16.5" customHeight="1">
      <c r="A4" s="38" t="s">
        <v>120</v>
      </c>
      <c r="B4" s="10"/>
      <c r="C4" s="50"/>
      <c r="D4" s="12"/>
      <c r="E4" s="12"/>
      <c r="F4" s="47"/>
      <c r="G4" s="1"/>
      <c r="H4" s="42">
        <v>43283</v>
      </c>
      <c r="I4" s="42">
        <v>401769</v>
      </c>
      <c r="J4" s="19" t="s">
        <v>107</v>
      </c>
      <c r="K4" s="8" t="s">
        <v>40</v>
      </c>
    </row>
    <row r="5" spans="1:11" s="54" customFormat="1" ht="16.5" customHeight="1">
      <c r="A5" s="38" t="s">
        <v>121</v>
      </c>
      <c r="B5" s="13"/>
      <c r="C5" s="47"/>
      <c r="D5" s="11"/>
      <c r="E5" s="11"/>
      <c r="F5" s="47"/>
      <c r="G5" s="52"/>
      <c r="H5" s="41">
        <v>43283</v>
      </c>
      <c r="I5" s="51">
        <v>43364</v>
      </c>
      <c r="J5" s="16" t="s">
        <v>109</v>
      </c>
      <c r="K5" s="1" t="s">
        <v>40</v>
      </c>
    </row>
    <row r="6" spans="1:11" s="53" customFormat="1">
      <c r="A6" s="38" t="s">
        <v>122</v>
      </c>
      <c r="C6" s="58"/>
      <c r="H6" s="59"/>
      <c r="I6" s="60"/>
      <c r="J6" s="45"/>
      <c r="K6" s="9"/>
    </row>
    <row r="7" spans="1:11" s="53" customFormat="1">
      <c r="A7" s="38" t="s">
        <v>123</v>
      </c>
      <c r="C7" s="58"/>
      <c r="H7" s="59"/>
      <c r="I7" s="60"/>
      <c r="J7" s="45"/>
      <c r="K7" s="9"/>
    </row>
    <row r="8" spans="1:11" s="53" customFormat="1">
      <c r="A8" s="38" t="s">
        <v>124</v>
      </c>
      <c r="C8" s="58"/>
      <c r="H8" s="59"/>
      <c r="I8" s="60"/>
      <c r="J8" s="45"/>
      <c r="K8" s="9"/>
    </row>
    <row r="9" spans="1:11" s="53" customFormat="1">
      <c r="A9" s="38" t="s">
        <v>125</v>
      </c>
      <c r="C9" s="58"/>
      <c r="H9" s="59"/>
      <c r="I9" s="60"/>
      <c r="J9" s="45"/>
      <c r="K9" s="9"/>
    </row>
    <row r="10" spans="1:11" s="53" customFormat="1">
      <c r="A10" s="38" t="s">
        <v>126</v>
      </c>
      <c r="C10" s="58"/>
      <c r="H10" s="59"/>
      <c r="I10" s="60"/>
      <c r="J10" s="45"/>
      <c r="K10" s="9"/>
    </row>
    <row r="11" spans="1:11" s="53" customFormat="1">
      <c r="A11" s="38" t="s">
        <v>127</v>
      </c>
      <c r="C11" s="58"/>
      <c r="H11" s="59"/>
      <c r="I11" s="60"/>
      <c r="J11" s="45"/>
      <c r="K11" s="9"/>
    </row>
    <row r="12" spans="1:11" s="53" customFormat="1">
      <c r="A12" s="38" t="s">
        <v>128</v>
      </c>
      <c r="C12" s="58"/>
      <c r="H12" s="59"/>
      <c r="I12" s="60"/>
      <c r="J12" s="45"/>
      <c r="K12" s="9"/>
    </row>
    <row r="13" spans="1:11" s="53" customFormat="1">
      <c r="A13" s="38" t="s">
        <v>129</v>
      </c>
      <c r="C13" s="58"/>
      <c r="H13" s="59"/>
      <c r="I13" s="60"/>
      <c r="J13" s="45"/>
      <c r="K13" s="9"/>
    </row>
    <row r="14" spans="1:11" s="53" customFormat="1">
      <c r="A14" s="38" t="s">
        <v>130</v>
      </c>
      <c r="C14" s="58"/>
      <c r="H14" s="59"/>
      <c r="I14" s="60"/>
      <c r="J14" s="45"/>
      <c r="K14" s="9"/>
    </row>
    <row r="15" spans="1:11" s="53" customFormat="1">
      <c r="A15" s="38" t="s">
        <v>131</v>
      </c>
      <c r="C15" s="58"/>
      <c r="H15" s="59"/>
      <c r="I15" s="60"/>
      <c r="J15" s="45"/>
      <c r="K15" s="9"/>
    </row>
    <row r="16" spans="1:11" s="53" customFormat="1">
      <c r="A16" s="38" t="s">
        <v>132</v>
      </c>
      <c r="C16" s="58"/>
      <c r="H16" s="59"/>
      <c r="I16" s="60"/>
      <c r="J16" s="45"/>
      <c r="K16" s="9"/>
    </row>
    <row r="17" spans="1:11" s="53" customFormat="1">
      <c r="A17" s="38" t="s">
        <v>133</v>
      </c>
      <c r="C17" s="58"/>
      <c r="H17" s="59"/>
      <c r="I17" s="60"/>
      <c r="J17" s="45"/>
      <c r="K17" s="9"/>
    </row>
    <row r="18" spans="1:11" s="53" customFormat="1">
      <c r="A18" s="38" t="s">
        <v>134</v>
      </c>
      <c r="C18" s="58"/>
      <c r="H18" s="59"/>
      <c r="I18" s="60"/>
      <c r="J18" s="45"/>
      <c r="K18" s="9"/>
    </row>
    <row r="19" spans="1:11" s="53" customFormat="1">
      <c r="A19" s="38" t="s">
        <v>135</v>
      </c>
      <c r="C19" s="58"/>
      <c r="H19" s="59"/>
      <c r="I19" s="60"/>
      <c r="J19" s="45"/>
      <c r="K19" s="9"/>
    </row>
    <row r="20" spans="1:11" s="53" customFormat="1">
      <c r="A20" s="38" t="s">
        <v>136</v>
      </c>
      <c r="C20" s="58"/>
      <c r="H20" s="59"/>
      <c r="I20" s="60"/>
      <c r="J20" s="45"/>
      <c r="K20" s="9"/>
    </row>
    <row r="21" spans="1:11" s="53" customFormat="1">
      <c r="A21" s="38" t="s">
        <v>137</v>
      </c>
      <c r="C21" s="58"/>
      <c r="H21" s="59"/>
      <c r="I21" s="60"/>
      <c r="J21" s="45"/>
      <c r="K21" s="9"/>
    </row>
    <row r="22" spans="1:11" s="53" customFormat="1">
      <c r="A22" s="38" t="s">
        <v>138</v>
      </c>
      <c r="C22" s="58"/>
      <c r="H22" s="59"/>
      <c r="I22" s="60"/>
      <c r="J22" s="45"/>
      <c r="K22" s="9"/>
    </row>
    <row r="23" spans="1:11" s="53" customFormat="1">
      <c r="A23" s="38" t="s">
        <v>139</v>
      </c>
      <c r="C23" s="58"/>
      <c r="H23" s="59"/>
      <c r="I23" s="60"/>
      <c r="J23" s="45"/>
      <c r="K23" s="9"/>
    </row>
    <row r="24" spans="1:11" s="53" customFormat="1">
      <c r="A24" s="38" t="s">
        <v>140</v>
      </c>
      <c r="C24" s="58"/>
      <c r="H24" s="59"/>
      <c r="I24" s="60"/>
      <c r="J24" s="45"/>
      <c r="K24" s="9"/>
    </row>
    <row r="25" spans="1:11" s="53" customFormat="1">
      <c r="A25" s="61"/>
      <c r="C25" s="58"/>
      <c r="H25" s="59"/>
      <c r="I25" s="60"/>
      <c r="J25" s="45"/>
      <c r="K25" s="9"/>
    </row>
    <row r="26" spans="1:11" s="53" customFormat="1">
      <c r="A26" s="61"/>
      <c r="C26" s="58"/>
      <c r="H26" s="59"/>
      <c r="I26" s="60"/>
      <c r="J26" s="45"/>
      <c r="K26" s="9"/>
    </row>
    <row r="27" spans="1:11" s="53" customFormat="1">
      <c r="A27" s="61"/>
      <c r="C27" s="58"/>
      <c r="H27" s="59"/>
      <c r="I27" s="60"/>
      <c r="J27" s="45"/>
      <c r="K27" s="9"/>
    </row>
    <row r="28" spans="1:11" s="53" customFormat="1">
      <c r="A28" s="61"/>
      <c r="C28" s="58"/>
      <c r="H28" s="59"/>
      <c r="I28" s="60"/>
      <c r="J28" s="45"/>
      <c r="K28" s="9"/>
    </row>
    <row r="29" spans="1:11" s="53" customFormat="1">
      <c r="A29" s="61"/>
      <c r="C29" s="58"/>
      <c r="H29" s="59"/>
      <c r="I29" s="60"/>
      <c r="J29" s="45"/>
      <c r="K29" s="9"/>
    </row>
    <row r="30" spans="1:11" s="53" customFormat="1">
      <c r="A30" s="61"/>
      <c r="C30" s="58"/>
      <c r="H30" s="59"/>
      <c r="I30" s="60"/>
      <c r="J30" s="45"/>
      <c r="K30" s="9"/>
    </row>
    <row r="31" spans="1:11" s="53" customFormat="1">
      <c r="A31" s="61"/>
      <c r="C31" s="58"/>
      <c r="H31" s="59"/>
      <c r="I31" s="60"/>
      <c r="J31" s="45"/>
      <c r="K31" s="9"/>
    </row>
    <row r="32" spans="1:11" s="53" customFormat="1">
      <c r="A32" s="61"/>
      <c r="C32" s="58"/>
      <c r="H32" s="59"/>
      <c r="I32" s="60"/>
      <c r="J32" s="45"/>
      <c r="K32" s="9"/>
    </row>
  </sheetData>
  <phoneticPr fontId="24" type="noConversion"/>
  <pageMargins left="0.7" right="0.7" top="0.75" bottom="0.75" header="0.3" footer="0.3"/>
  <pageSetup orientation="portrait" r:id="rId1"/>
  <headerFooter>
    <oddFooter>&amp;C&amp;1#&amp;"Arial"&amp;8 Nokia internal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20041-97F9-EB48-9569-FC2FF4A8A3C1}">
  <dimension ref="A1:C32"/>
  <sheetViews>
    <sheetView workbookViewId="0">
      <selection activeCell="B2" sqref="B2"/>
    </sheetView>
  </sheetViews>
  <sheetFormatPr baseColWidth="10" defaultRowHeight="13"/>
  <cols>
    <col min="1" max="1" width="14.83203125" customWidth="1"/>
  </cols>
  <sheetData>
    <row r="1" spans="1:3" ht="14">
      <c r="A1" s="7" t="s">
        <v>30</v>
      </c>
      <c r="B1" s="53" t="s">
        <v>149</v>
      </c>
      <c r="C1" s="53" t="s">
        <v>150</v>
      </c>
    </row>
    <row r="2" spans="1:3" ht="14">
      <c r="A2" s="11" t="s">
        <v>144</v>
      </c>
    </row>
    <row r="3" spans="1:3" ht="14">
      <c r="A3" s="11" t="s">
        <v>144</v>
      </c>
    </row>
    <row r="4" spans="1:3" ht="14">
      <c r="A4" s="11" t="s">
        <v>144</v>
      </c>
    </row>
    <row r="5" spans="1:3" ht="14">
      <c r="A5" s="11" t="s">
        <v>144</v>
      </c>
    </row>
    <row r="6" spans="1:3" ht="14">
      <c r="A6" s="11" t="s">
        <v>144</v>
      </c>
    </row>
    <row r="7" spans="1:3" ht="14">
      <c r="A7" s="11" t="s">
        <v>144</v>
      </c>
    </row>
    <row r="8" spans="1:3" ht="14">
      <c r="A8" s="11" t="s">
        <v>144</v>
      </c>
    </row>
    <row r="9" spans="1:3" ht="14">
      <c r="A9" s="11" t="s">
        <v>144</v>
      </c>
    </row>
    <row r="10" spans="1:3" ht="14">
      <c r="A10" s="11" t="s">
        <v>144</v>
      </c>
    </row>
    <row r="11" spans="1:3" ht="14">
      <c r="A11" s="11" t="s">
        <v>144</v>
      </c>
    </row>
    <row r="12" spans="1:3" ht="14">
      <c r="A12" s="11" t="s">
        <v>144</v>
      </c>
    </row>
    <row r="13" spans="1:3" ht="14">
      <c r="A13" s="11" t="s">
        <v>144</v>
      </c>
    </row>
    <row r="14" spans="1:3" ht="14">
      <c r="A14" s="11" t="s">
        <v>144</v>
      </c>
    </row>
    <row r="15" spans="1:3" ht="14">
      <c r="A15" s="11" t="s">
        <v>144</v>
      </c>
    </row>
    <row r="16" spans="1:3" ht="14">
      <c r="A16" s="11" t="s">
        <v>144</v>
      </c>
    </row>
    <row r="17" spans="1:1" ht="14">
      <c r="A17" s="11" t="s">
        <v>144</v>
      </c>
    </row>
    <row r="18" spans="1:1" ht="14">
      <c r="A18" s="11" t="s">
        <v>144</v>
      </c>
    </row>
    <row r="19" spans="1:1" ht="14">
      <c r="A19" s="11" t="s">
        <v>144</v>
      </c>
    </row>
    <row r="20" spans="1:1" ht="14">
      <c r="A20" s="11" t="s">
        <v>144</v>
      </c>
    </row>
    <row r="21" spans="1:1" ht="14">
      <c r="A21" s="11" t="s">
        <v>144</v>
      </c>
    </row>
    <row r="22" spans="1:1" ht="14">
      <c r="A22" s="11" t="s">
        <v>144</v>
      </c>
    </row>
    <row r="23" spans="1:1" ht="14">
      <c r="A23" s="11" t="s">
        <v>144</v>
      </c>
    </row>
    <row r="24" spans="1:1" ht="14">
      <c r="A24" s="11" t="s">
        <v>144</v>
      </c>
    </row>
    <row r="25" spans="1:1">
      <c r="A25" s="53"/>
    </row>
    <row r="26" spans="1:1">
      <c r="A26" s="53"/>
    </row>
    <row r="27" spans="1:1">
      <c r="A27" s="53"/>
    </row>
    <row r="28" spans="1:1">
      <c r="A28" s="53"/>
    </row>
    <row r="29" spans="1:1">
      <c r="A29" s="53"/>
    </row>
    <row r="30" spans="1:1">
      <c r="A30" s="53"/>
    </row>
    <row r="31" spans="1:1">
      <c r="A31" s="53"/>
    </row>
    <row r="32" spans="1:1">
      <c r="A32" s="5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001E0-55EB-EF4B-BD5F-453FB6B0FFEE}">
  <dimension ref="A1:D32"/>
  <sheetViews>
    <sheetView workbookViewId="0">
      <selection activeCell="C1" sqref="C1:D1048576"/>
    </sheetView>
  </sheetViews>
  <sheetFormatPr baseColWidth="10" defaultRowHeight="13"/>
  <cols>
    <col min="1" max="1" width="24.5" customWidth="1"/>
    <col min="2" max="2" width="11.1640625" customWidth="1"/>
    <col min="3" max="3" width="12.83203125" customWidth="1"/>
    <col min="4" max="4" width="15.5" customWidth="1"/>
  </cols>
  <sheetData>
    <row r="1" spans="1:4" ht="28">
      <c r="A1" s="6" t="s">
        <v>28</v>
      </c>
      <c r="B1" s="7" t="s">
        <v>115</v>
      </c>
      <c r="C1" s="7" t="s">
        <v>116</v>
      </c>
      <c r="D1" s="7" t="s">
        <v>4</v>
      </c>
    </row>
    <row r="2" spans="1:4">
      <c r="A2" s="9" t="s">
        <v>142</v>
      </c>
      <c r="B2" s="14" t="s">
        <v>143</v>
      </c>
      <c r="C2" s="1" t="s">
        <v>141</v>
      </c>
      <c r="D2" s="14" t="s">
        <v>142</v>
      </c>
    </row>
    <row r="3" spans="1:4">
      <c r="A3" s="9" t="s">
        <v>142</v>
      </c>
      <c r="B3" s="14" t="s">
        <v>143</v>
      </c>
      <c r="C3" s="1" t="s">
        <v>141</v>
      </c>
      <c r="D3" s="14" t="s">
        <v>142</v>
      </c>
    </row>
    <row r="4" spans="1:4">
      <c r="A4" s="1" t="s">
        <v>142</v>
      </c>
      <c r="B4" s="57" t="s">
        <v>143</v>
      </c>
      <c r="C4" s="1" t="s">
        <v>117</v>
      </c>
      <c r="D4" s="1" t="s">
        <v>142</v>
      </c>
    </row>
    <row r="5" spans="1:4">
      <c r="A5" s="1" t="s">
        <v>142</v>
      </c>
      <c r="B5" s="57" t="s">
        <v>143</v>
      </c>
      <c r="C5" s="1" t="s">
        <v>117</v>
      </c>
      <c r="D5" s="1" t="s">
        <v>142</v>
      </c>
    </row>
    <row r="6" spans="1:4">
      <c r="A6" s="53"/>
      <c r="B6" s="53"/>
      <c r="C6" s="53"/>
      <c r="D6" s="53"/>
    </row>
    <row r="7" spans="1:4">
      <c r="A7" s="53"/>
      <c r="B7" s="53"/>
      <c r="C7" s="53"/>
      <c r="D7" s="53"/>
    </row>
    <row r="8" spans="1:4">
      <c r="A8" s="53"/>
      <c r="B8" s="53"/>
      <c r="C8" s="53"/>
      <c r="D8" s="53"/>
    </row>
    <row r="9" spans="1:4">
      <c r="A9" s="53"/>
      <c r="B9" s="53"/>
      <c r="C9" s="53"/>
      <c r="D9" s="53"/>
    </row>
    <row r="10" spans="1:4">
      <c r="A10" s="53"/>
      <c r="B10" s="53"/>
      <c r="C10" s="53"/>
      <c r="D10" s="53"/>
    </row>
    <row r="11" spans="1:4">
      <c r="A11" s="53"/>
      <c r="B11" s="53"/>
      <c r="C11" s="53"/>
      <c r="D11" s="53"/>
    </row>
    <row r="12" spans="1:4">
      <c r="A12" s="53"/>
      <c r="B12" s="53"/>
      <c r="C12" s="53"/>
      <c r="D12" s="53"/>
    </row>
    <row r="13" spans="1:4">
      <c r="A13" s="53"/>
      <c r="B13" s="53"/>
      <c r="C13" s="53"/>
      <c r="D13" s="53"/>
    </row>
    <row r="14" spans="1:4">
      <c r="A14" s="53"/>
      <c r="B14" s="53"/>
      <c r="C14" s="53"/>
      <c r="D14" s="53"/>
    </row>
    <row r="15" spans="1:4">
      <c r="A15" s="53"/>
      <c r="B15" s="53"/>
      <c r="C15" s="53"/>
      <c r="D15" s="53"/>
    </row>
    <row r="16" spans="1:4">
      <c r="A16" s="53"/>
      <c r="B16" s="53"/>
      <c r="C16" s="53"/>
      <c r="D16" s="53"/>
    </row>
    <row r="17" spans="1:4">
      <c r="A17" s="53"/>
      <c r="B17" s="53"/>
      <c r="C17" s="53"/>
      <c r="D17" s="53"/>
    </row>
    <row r="18" spans="1:4">
      <c r="A18" s="53"/>
      <c r="B18" s="53"/>
      <c r="C18" s="53"/>
      <c r="D18" s="53"/>
    </row>
    <row r="19" spans="1:4">
      <c r="A19" s="53"/>
      <c r="B19" s="53"/>
      <c r="C19" s="53"/>
      <c r="D19" s="53"/>
    </row>
    <row r="20" spans="1:4">
      <c r="A20" s="53"/>
      <c r="B20" s="53"/>
      <c r="C20" s="53"/>
      <c r="D20" s="53"/>
    </row>
    <row r="21" spans="1:4">
      <c r="A21" s="53"/>
      <c r="B21" s="53"/>
      <c r="C21" s="53"/>
      <c r="D21" s="53"/>
    </row>
    <row r="22" spans="1:4">
      <c r="A22" s="53"/>
      <c r="B22" s="53"/>
      <c r="C22" s="53"/>
      <c r="D22" s="53"/>
    </row>
    <row r="23" spans="1:4">
      <c r="A23" s="53"/>
      <c r="B23" s="53"/>
      <c r="C23" s="53"/>
      <c r="D23" s="53"/>
    </row>
    <row r="24" spans="1:4">
      <c r="A24" s="53"/>
      <c r="B24" s="53"/>
      <c r="C24" s="53"/>
      <c r="D24" s="53"/>
    </row>
    <row r="25" spans="1:4">
      <c r="A25" s="53"/>
      <c r="B25" s="53"/>
      <c r="C25" s="53"/>
      <c r="D25" s="53"/>
    </row>
    <row r="26" spans="1:4">
      <c r="A26" s="53"/>
      <c r="B26" s="53"/>
      <c r="C26" s="53"/>
      <c r="D26" s="53"/>
    </row>
    <row r="27" spans="1:4">
      <c r="A27" s="53"/>
      <c r="B27" s="53"/>
      <c r="C27" s="53"/>
      <c r="D27" s="53"/>
    </row>
    <row r="28" spans="1:4">
      <c r="A28" s="53"/>
      <c r="B28" s="53"/>
      <c r="C28" s="53"/>
      <c r="D28" s="53"/>
    </row>
    <row r="29" spans="1:4">
      <c r="A29" s="53"/>
      <c r="B29" s="53"/>
      <c r="C29" s="53"/>
      <c r="D29" s="53"/>
    </row>
    <row r="30" spans="1:4">
      <c r="A30" s="53"/>
      <c r="B30" s="53"/>
      <c r="C30" s="53"/>
      <c r="D30" s="53"/>
    </row>
    <row r="31" spans="1:4">
      <c r="A31" s="53"/>
      <c r="B31" s="53"/>
      <c r="C31" s="53"/>
      <c r="D31" s="53"/>
    </row>
    <row r="32" spans="1:4">
      <c r="A32" s="53"/>
      <c r="B32" s="53"/>
      <c r="C32" s="53"/>
      <c r="D32" s="5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5D11D-6B1A-5D42-8FBB-CC34B14EE375}">
  <dimension ref="A1:D1"/>
  <sheetViews>
    <sheetView tabSelected="1" workbookViewId="0">
      <selection activeCell="C24" sqref="C24"/>
    </sheetView>
  </sheetViews>
  <sheetFormatPr baseColWidth="10" defaultRowHeight="13"/>
  <sheetData>
    <row r="1" spans="1:4">
      <c r="A1" s="53" t="s">
        <v>28</v>
      </c>
      <c r="B1" s="53" t="s">
        <v>145</v>
      </c>
      <c r="C1" s="53" t="s">
        <v>10</v>
      </c>
      <c r="D1" s="53" t="s">
        <v>146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J98"/>
  <sheetViews>
    <sheetView topLeftCell="A16" workbookViewId="0">
      <selection activeCell="N15" sqref="N15"/>
    </sheetView>
  </sheetViews>
  <sheetFormatPr baseColWidth="10" defaultColWidth="8.83203125" defaultRowHeight="13"/>
  <cols>
    <col min="1" max="1" width="16.1640625" bestFit="1" customWidth="1"/>
    <col min="2" max="2" width="17" bestFit="1" customWidth="1"/>
    <col min="3" max="3" width="6.1640625" bestFit="1" customWidth="1"/>
    <col min="4" max="4" width="11.1640625" bestFit="1" customWidth="1"/>
    <col min="5" max="5" width="14.1640625" bestFit="1" customWidth="1"/>
    <col min="6" max="6" width="5" bestFit="1" customWidth="1"/>
    <col min="7" max="7" width="7.1640625" bestFit="1" customWidth="1"/>
    <col min="8" max="8" width="11.83203125" bestFit="1" customWidth="1"/>
    <col min="9" max="9" width="7.1640625" bestFit="1" customWidth="1"/>
    <col min="10" max="10" width="11.83203125" bestFit="1" customWidth="1"/>
  </cols>
  <sheetData>
    <row r="3" spans="1:10">
      <c r="A3" s="2" t="s">
        <v>106</v>
      </c>
      <c r="B3" s="2" t="s">
        <v>32</v>
      </c>
    </row>
    <row r="4" spans="1:10">
      <c r="A4" s="2" t="s">
        <v>29</v>
      </c>
      <c r="B4" t="s">
        <v>12</v>
      </c>
      <c r="C4" t="s">
        <v>19</v>
      </c>
      <c r="D4" t="s">
        <v>16</v>
      </c>
      <c r="E4" t="s">
        <v>11</v>
      </c>
      <c r="F4" t="s">
        <v>42</v>
      </c>
      <c r="G4" t="s">
        <v>0</v>
      </c>
      <c r="H4" t="s">
        <v>31</v>
      </c>
      <c r="I4" t="s">
        <v>114</v>
      </c>
      <c r="J4" t="s">
        <v>20</v>
      </c>
    </row>
    <row r="5" spans="1:10">
      <c r="A5" s="3" t="s">
        <v>26</v>
      </c>
      <c r="B5" s="4"/>
      <c r="C5" s="4"/>
      <c r="D5" s="4"/>
      <c r="E5" s="4"/>
      <c r="F5" s="4"/>
      <c r="G5" s="4"/>
      <c r="H5" s="4">
        <v>4</v>
      </c>
      <c r="I5" s="4"/>
      <c r="J5" s="4">
        <v>4</v>
      </c>
    </row>
    <row r="6" spans="1:10">
      <c r="A6" s="3" t="s">
        <v>6</v>
      </c>
      <c r="B6" s="4">
        <v>2</v>
      </c>
      <c r="C6" s="4">
        <v>23</v>
      </c>
      <c r="D6" s="4">
        <v>3</v>
      </c>
      <c r="E6" s="4">
        <v>52</v>
      </c>
      <c r="F6" s="4">
        <v>19.5</v>
      </c>
      <c r="G6" s="4">
        <v>1.5</v>
      </c>
      <c r="H6" s="4">
        <v>77</v>
      </c>
      <c r="I6" s="4"/>
      <c r="J6" s="4">
        <v>178</v>
      </c>
    </row>
    <row r="7" spans="1:10">
      <c r="A7" s="3" t="s">
        <v>41</v>
      </c>
      <c r="B7" s="4">
        <v>2</v>
      </c>
      <c r="C7" s="4">
        <v>4</v>
      </c>
      <c r="D7" s="4">
        <v>2</v>
      </c>
      <c r="E7" s="4">
        <v>5</v>
      </c>
      <c r="F7" s="4">
        <v>1</v>
      </c>
      <c r="G7" s="4">
        <v>1</v>
      </c>
      <c r="H7" s="4">
        <v>1</v>
      </c>
      <c r="I7" s="4"/>
      <c r="J7" s="4">
        <v>16</v>
      </c>
    </row>
    <row r="8" spans="1:10">
      <c r="A8" s="3" t="s">
        <v>14</v>
      </c>
      <c r="B8" s="4">
        <v>5</v>
      </c>
      <c r="C8" s="4">
        <v>2</v>
      </c>
      <c r="D8" s="4">
        <v>1</v>
      </c>
      <c r="E8" s="4">
        <v>1</v>
      </c>
      <c r="F8" s="4">
        <v>1</v>
      </c>
      <c r="G8" s="4">
        <v>2</v>
      </c>
      <c r="H8" s="4"/>
      <c r="I8" s="4"/>
      <c r="J8" s="4">
        <v>12</v>
      </c>
    </row>
    <row r="9" spans="1:10">
      <c r="A9" s="3" t="s">
        <v>33</v>
      </c>
      <c r="B9" s="4"/>
      <c r="C9" s="4"/>
      <c r="D9" s="4">
        <v>1</v>
      </c>
      <c r="E9" s="4">
        <v>8</v>
      </c>
      <c r="F9" s="4"/>
      <c r="G9" s="4">
        <v>0.5</v>
      </c>
      <c r="H9" s="4">
        <v>3</v>
      </c>
      <c r="I9" s="4"/>
      <c r="J9" s="4">
        <v>12.5</v>
      </c>
    </row>
    <row r="10" spans="1:10">
      <c r="A10" s="3" t="s">
        <v>25</v>
      </c>
      <c r="B10" s="4">
        <v>4</v>
      </c>
      <c r="C10" s="4">
        <v>6</v>
      </c>
      <c r="D10" s="4">
        <v>2</v>
      </c>
      <c r="E10" s="4">
        <v>1</v>
      </c>
      <c r="F10" s="4">
        <v>0.25</v>
      </c>
      <c r="G10" s="4"/>
      <c r="H10" s="4"/>
      <c r="I10" s="4"/>
      <c r="J10" s="4">
        <v>13.25</v>
      </c>
    </row>
    <row r="11" spans="1:10">
      <c r="A11" s="3" t="s">
        <v>15</v>
      </c>
      <c r="B11" s="4"/>
      <c r="C11" s="4"/>
      <c r="D11" s="4"/>
      <c r="E11" s="4"/>
      <c r="F11" s="4">
        <v>0.5</v>
      </c>
      <c r="G11" s="4"/>
      <c r="H11" s="4"/>
      <c r="I11" s="4"/>
      <c r="J11" s="4">
        <v>0.5</v>
      </c>
    </row>
    <row r="12" spans="1:10">
      <c r="A12" s="3" t="s">
        <v>17</v>
      </c>
      <c r="B12" s="4"/>
      <c r="C12" s="4">
        <v>14</v>
      </c>
      <c r="D12" s="4">
        <v>1</v>
      </c>
      <c r="E12" s="4">
        <v>46</v>
      </c>
      <c r="F12" s="4">
        <v>8.5</v>
      </c>
      <c r="G12" s="4"/>
      <c r="H12" s="4">
        <v>39</v>
      </c>
      <c r="I12" s="4"/>
      <c r="J12" s="4">
        <v>108.5</v>
      </c>
    </row>
    <row r="13" spans="1:10">
      <c r="A13" s="3" t="s">
        <v>7</v>
      </c>
      <c r="B13" s="4">
        <v>1</v>
      </c>
      <c r="C13" s="4">
        <v>3</v>
      </c>
      <c r="D13" s="4">
        <v>2</v>
      </c>
      <c r="E13" s="4">
        <v>4</v>
      </c>
      <c r="F13" s="4">
        <v>1</v>
      </c>
      <c r="G13" s="4"/>
      <c r="H13" s="4"/>
      <c r="I13" s="4"/>
      <c r="J13" s="4">
        <v>11</v>
      </c>
    </row>
    <row r="14" spans="1:10">
      <c r="A14" s="3" t="s">
        <v>13</v>
      </c>
      <c r="B14" s="4"/>
      <c r="C14" s="4"/>
      <c r="D14" s="4"/>
      <c r="E14" s="4"/>
      <c r="F14" s="4">
        <v>0.25</v>
      </c>
      <c r="G14" s="4"/>
      <c r="H14" s="4"/>
      <c r="I14" s="4"/>
      <c r="J14" s="4">
        <v>0.25</v>
      </c>
    </row>
    <row r="15" spans="1:10">
      <c r="A15" s="3" t="s">
        <v>114</v>
      </c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3" t="s">
        <v>20</v>
      </c>
      <c r="B16" s="4">
        <v>14</v>
      </c>
      <c r="C16" s="4">
        <v>52</v>
      </c>
      <c r="D16" s="4">
        <v>12</v>
      </c>
      <c r="E16" s="4">
        <v>117</v>
      </c>
      <c r="F16" s="4">
        <v>32</v>
      </c>
      <c r="G16" s="4">
        <v>5</v>
      </c>
      <c r="H16" s="4">
        <v>124</v>
      </c>
      <c r="I16" s="4"/>
      <c r="J16" s="4">
        <v>356</v>
      </c>
    </row>
    <row r="17" spans="1:10">
      <c r="A17" s="3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2" t="s">
        <v>106</v>
      </c>
      <c r="B18" s="2" t="s">
        <v>32</v>
      </c>
    </row>
    <row r="19" spans="1:10">
      <c r="A19" s="2" t="s">
        <v>29</v>
      </c>
      <c r="B19" t="s">
        <v>24</v>
      </c>
      <c r="C19" t="s">
        <v>43</v>
      </c>
      <c r="D19" t="s">
        <v>79</v>
      </c>
      <c r="E19" t="s">
        <v>3</v>
      </c>
      <c r="F19" t="s">
        <v>2</v>
      </c>
      <c r="G19" t="s">
        <v>114</v>
      </c>
      <c r="H19" t="s">
        <v>20</v>
      </c>
    </row>
    <row r="20" spans="1:10">
      <c r="A20" s="3" t="s">
        <v>26</v>
      </c>
      <c r="B20" s="4"/>
      <c r="C20" s="4"/>
      <c r="D20" s="4"/>
      <c r="E20" s="4"/>
      <c r="F20" s="4">
        <v>4</v>
      </c>
      <c r="G20" s="4"/>
      <c r="H20" s="4">
        <v>4</v>
      </c>
    </row>
    <row r="21" spans="1:10">
      <c r="A21" s="3" t="s">
        <v>6</v>
      </c>
      <c r="B21" s="4"/>
      <c r="C21" s="4">
        <v>84</v>
      </c>
      <c r="D21" s="4">
        <v>5</v>
      </c>
      <c r="E21" s="4">
        <v>12</v>
      </c>
      <c r="F21" s="4">
        <v>77</v>
      </c>
      <c r="G21" s="4"/>
      <c r="H21" s="4">
        <v>178</v>
      </c>
    </row>
    <row r="22" spans="1:10">
      <c r="A22" s="3" t="s">
        <v>41</v>
      </c>
      <c r="B22" s="4"/>
      <c r="C22" s="4">
        <v>15</v>
      </c>
      <c r="D22" s="4"/>
      <c r="E22" s="4"/>
      <c r="F22" s="4">
        <v>1</v>
      </c>
      <c r="G22" s="4"/>
      <c r="H22" s="4">
        <v>16</v>
      </c>
    </row>
    <row r="23" spans="1:10">
      <c r="A23" s="3" t="s">
        <v>14</v>
      </c>
      <c r="B23" s="4"/>
      <c r="C23" s="4">
        <v>12</v>
      </c>
      <c r="D23" s="4"/>
      <c r="E23" s="4"/>
      <c r="F23" s="4"/>
      <c r="G23" s="4"/>
      <c r="H23" s="4">
        <v>12</v>
      </c>
    </row>
    <row r="24" spans="1:10">
      <c r="A24" s="3" t="s">
        <v>33</v>
      </c>
      <c r="B24" s="4">
        <v>1</v>
      </c>
      <c r="C24" s="4">
        <v>7.5</v>
      </c>
      <c r="D24" s="4"/>
      <c r="E24" s="4">
        <v>1</v>
      </c>
      <c r="F24" s="4">
        <v>3</v>
      </c>
      <c r="G24" s="4"/>
      <c r="H24" s="4">
        <v>12.5</v>
      </c>
    </row>
    <row r="25" spans="1:10">
      <c r="A25" s="3" t="s">
        <v>25</v>
      </c>
      <c r="B25" s="4"/>
      <c r="C25" s="4">
        <v>13.25</v>
      </c>
      <c r="D25" s="4"/>
      <c r="E25" s="4"/>
      <c r="F25" s="4"/>
      <c r="G25" s="4"/>
      <c r="H25" s="4">
        <v>13.25</v>
      </c>
    </row>
    <row r="26" spans="1:10">
      <c r="A26" s="3" t="s">
        <v>15</v>
      </c>
      <c r="B26" s="4"/>
      <c r="C26" s="4">
        <v>0.5</v>
      </c>
      <c r="D26" s="4"/>
      <c r="E26" s="4"/>
      <c r="F26" s="4"/>
      <c r="G26" s="4"/>
      <c r="H26" s="4">
        <v>0.5</v>
      </c>
    </row>
    <row r="27" spans="1:10">
      <c r="A27" s="3" t="s">
        <v>17</v>
      </c>
      <c r="B27" s="4"/>
      <c r="C27" s="4">
        <v>58.5</v>
      </c>
      <c r="D27" s="4"/>
      <c r="E27" s="4">
        <v>11</v>
      </c>
      <c r="F27" s="4">
        <v>39</v>
      </c>
      <c r="G27" s="4"/>
      <c r="H27" s="4">
        <v>108.5</v>
      </c>
    </row>
    <row r="28" spans="1:10">
      <c r="A28" s="3" t="s">
        <v>7</v>
      </c>
      <c r="B28" s="4"/>
      <c r="C28" s="4">
        <v>11</v>
      </c>
      <c r="D28" s="4"/>
      <c r="E28" s="4"/>
      <c r="F28" s="4"/>
      <c r="G28" s="4"/>
      <c r="H28" s="4">
        <v>11</v>
      </c>
    </row>
    <row r="29" spans="1:10">
      <c r="A29" s="3" t="s">
        <v>13</v>
      </c>
      <c r="B29" s="4"/>
      <c r="C29" s="4">
        <v>0.25</v>
      </c>
      <c r="D29" s="4"/>
      <c r="E29" s="4"/>
      <c r="F29" s="4"/>
      <c r="G29" s="4"/>
      <c r="H29" s="4">
        <v>0.25</v>
      </c>
    </row>
    <row r="30" spans="1:10">
      <c r="A30" s="3" t="s">
        <v>114</v>
      </c>
      <c r="B30" s="4"/>
      <c r="C30" s="4"/>
      <c r="D30" s="4"/>
      <c r="E30" s="4"/>
      <c r="F30" s="4"/>
      <c r="G30" s="4"/>
      <c r="H30" s="4"/>
    </row>
    <row r="31" spans="1:10">
      <c r="A31" s="3" t="s">
        <v>20</v>
      </c>
      <c r="B31" s="4">
        <v>1</v>
      </c>
      <c r="C31" s="4">
        <v>202</v>
      </c>
      <c r="D31" s="4">
        <v>5</v>
      </c>
      <c r="E31" s="4">
        <v>24</v>
      </c>
      <c r="F31" s="4">
        <v>124</v>
      </c>
      <c r="G31" s="4"/>
      <c r="H31" s="4">
        <v>356</v>
      </c>
    </row>
    <row r="38" spans="1:10">
      <c r="A38" s="2" t="s">
        <v>106</v>
      </c>
      <c r="B38" s="2" t="s">
        <v>32</v>
      </c>
    </row>
    <row r="39" spans="1:10">
      <c r="A39" s="2" t="s">
        <v>29</v>
      </c>
      <c r="B39" t="s">
        <v>12</v>
      </c>
      <c r="C39" t="s">
        <v>19</v>
      </c>
      <c r="D39" t="s">
        <v>16</v>
      </c>
      <c r="E39" t="s">
        <v>11</v>
      </c>
      <c r="F39" t="s">
        <v>42</v>
      </c>
      <c r="G39" t="s">
        <v>0</v>
      </c>
      <c r="H39" t="s">
        <v>31</v>
      </c>
      <c r="I39" t="s">
        <v>114</v>
      </c>
      <c r="J39" t="s">
        <v>20</v>
      </c>
    </row>
    <row r="40" spans="1:10">
      <c r="A40" s="3" t="s">
        <v>76</v>
      </c>
      <c r="B40" s="4"/>
      <c r="C40" s="4"/>
      <c r="D40" s="4"/>
      <c r="E40" s="4"/>
      <c r="F40" s="4">
        <v>12.25</v>
      </c>
      <c r="G40" s="4"/>
      <c r="H40" s="4"/>
      <c r="I40" s="4"/>
      <c r="J40" s="4">
        <v>12.25</v>
      </c>
    </row>
    <row r="41" spans="1:10">
      <c r="A41" s="3" t="s">
        <v>35</v>
      </c>
      <c r="B41" s="4"/>
      <c r="C41" s="4"/>
      <c r="D41" s="4"/>
      <c r="E41" s="4"/>
      <c r="F41" s="4"/>
      <c r="G41" s="4"/>
      <c r="H41" s="4">
        <v>4</v>
      </c>
      <c r="I41" s="4"/>
      <c r="J41" s="4">
        <v>4</v>
      </c>
    </row>
    <row r="42" spans="1:10">
      <c r="A42" s="3" t="s">
        <v>34</v>
      </c>
      <c r="B42" s="4"/>
      <c r="C42" s="4">
        <v>1</v>
      </c>
      <c r="D42" s="4"/>
      <c r="E42" s="4">
        <v>4</v>
      </c>
      <c r="F42" s="4">
        <v>0.25</v>
      </c>
      <c r="G42" s="4"/>
      <c r="H42" s="4"/>
      <c r="I42" s="4"/>
      <c r="J42" s="4">
        <v>5.25</v>
      </c>
    </row>
    <row r="43" spans="1:10">
      <c r="A43" s="3" t="s">
        <v>83</v>
      </c>
      <c r="B43" s="4"/>
      <c r="C43" s="4"/>
      <c r="D43" s="4"/>
      <c r="E43" s="4"/>
      <c r="F43" s="4">
        <v>0.75</v>
      </c>
      <c r="G43" s="4"/>
      <c r="H43" s="4"/>
      <c r="I43" s="4"/>
      <c r="J43" s="4">
        <v>0.75</v>
      </c>
    </row>
    <row r="44" spans="1:10">
      <c r="A44" s="3" t="s">
        <v>77</v>
      </c>
      <c r="B44" s="4"/>
      <c r="C44" s="4"/>
      <c r="D44" s="4"/>
      <c r="E44" s="4"/>
      <c r="F44" s="4">
        <v>0</v>
      </c>
      <c r="G44" s="4"/>
      <c r="H44" s="4">
        <v>1</v>
      </c>
      <c r="I44" s="4"/>
      <c r="J44" s="4">
        <v>1</v>
      </c>
    </row>
    <row r="45" spans="1:10">
      <c r="A45" s="3" t="s">
        <v>64</v>
      </c>
      <c r="B45" s="4">
        <v>0.5</v>
      </c>
      <c r="C45" s="4"/>
      <c r="D45" s="4"/>
      <c r="E45" s="4">
        <v>3</v>
      </c>
      <c r="F45" s="4"/>
      <c r="G45" s="4"/>
      <c r="H45" s="4">
        <v>2</v>
      </c>
      <c r="I45" s="4"/>
      <c r="J45" s="4">
        <v>5.5</v>
      </c>
    </row>
    <row r="46" spans="1:10">
      <c r="A46" s="3" t="s">
        <v>70</v>
      </c>
      <c r="B46" s="4">
        <v>1</v>
      </c>
      <c r="C46" s="4"/>
      <c r="D46" s="4"/>
      <c r="E46" s="4">
        <v>6</v>
      </c>
      <c r="F46" s="4"/>
      <c r="G46" s="4"/>
      <c r="H46" s="4"/>
      <c r="I46" s="4"/>
      <c r="J46" s="4">
        <v>7</v>
      </c>
    </row>
    <row r="47" spans="1:10">
      <c r="A47" s="3" t="s">
        <v>74</v>
      </c>
      <c r="B47" s="4"/>
      <c r="C47" s="4"/>
      <c r="D47" s="4">
        <v>1</v>
      </c>
      <c r="E47" s="4">
        <v>2</v>
      </c>
      <c r="F47" s="4"/>
      <c r="G47" s="4">
        <v>0.5</v>
      </c>
      <c r="H47" s="4">
        <v>2</v>
      </c>
      <c r="I47" s="4"/>
      <c r="J47" s="4">
        <v>5.5</v>
      </c>
    </row>
    <row r="48" spans="1:10">
      <c r="A48" s="3" t="s">
        <v>48</v>
      </c>
      <c r="B48" s="4"/>
      <c r="C48" s="4">
        <v>0</v>
      </c>
      <c r="D48" s="4"/>
      <c r="E48" s="4">
        <v>12</v>
      </c>
      <c r="F48" s="4"/>
      <c r="G48" s="4"/>
      <c r="H48" s="4"/>
      <c r="I48" s="4"/>
      <c r="J48" s="4">
        <v>12</v>
      </c>
    </row>
    <row r="49" spans="1:10">
      <c r="A49" s="3" t="s">
        <v>49</v>
      </c>
      <c r="B49" s="4">
        <v>0.5</v>
      </c>
      <c r="C49" s="4">
        <v>1</v>
      </c>
      <c r="D49" s="4"/>
      <c r="E49" s="4">
        <v>1</v>
      </c>
      <c r="F49" s="4"/>
      <c r="G49" s="4"/>
      <c r="H49" s="4">
        <v>3</v>
      </c>
      <c r="I49" s="4"/>
      <c r="J49" s="4">
        <v>5.5</v>
      </c>
    </row>
    <row r="50" spans="1:10">
      <c r="A50" s="3" t="s">
        <v>45</v>
      </c>
      <c r="B50" s="4"/>
      <c r="C50" s="4"/>
      <c r="D50" s="4"/>
      <c r="E50" s="4"/>
      <c r="F50" s="4"/>
      <c r="G50" s="4"/>
      <c r="H50" s="4">
        <v>5</v>
      </c>
      <c r="I50" s="4"/>
      <c r="J50" s="4">
        <v>5</v>
      </c>
    </row>
    <row r="51" spans="1:10">
      <c r="A51" s="3" t="s">
        <v>46</v>
      </c>
      <c r="B51" s="4"/>
      <c r="C51" s="4"/>
      <c r="D51" s="4"/>
      <c r="E51" s="4"/>
      <c r="F51" s="4"/>
      <c r="G51" s="4"/>
      <c r="H51" s="4">
        <v>6</v>
      </c>
      <c r="I51" s="4"/>
      <c r="J51" s="4">
        <v>6</v>
      </c>
    </row>
    <row r="52" spans="1:10">
      <c r="A52" s="3" t="s">
        <v>47</v>
      </c>
      <c r="B52" s="4"/>
      <c r="C52" s="4"/>
      <c r="D52" s="4"/>
      <c r="E52" s="4"/>
      <c r="F52" s="4"/>
      <c r="G52" s="4"/>
      <c r="H52" s="4">
        <v>5</v>
      </c>
      <c r="I52" s="4"/>
      <c r="J52" s="4">
        <v>5</v>
      </c>
    </row>
    <row r="53" spans="1:10">
      <c r="A53" s="3" t="s">
        <v>63</v>
      </c>
      <c r="B53" s="4"/>
      <c r="C53" s="4"/>
      <c r="D53" s="4"/>
      <c r="E53" s="4"/>
      <c r="F53" s="4"/>
      <c r="G53" s="4"/>
      <c r="H53" s="4">
        <v>4</v>
      </c>
      <c r="I53" s="4"/>
      <c r="J53" s="4">
        <v>4</v>
      </c>
    </row>
    <row r="54" spans="1:10">
      <c r="A54" s="3" t="s">
        <v>59</v>
      </c>
      <c r="B54" s="4"/>
      <c r="C54" s="4"/>
      <c r="D54" s="4">
        <v>0</v>
      </c>
      <c r="E54" s="4"/>
      <c r="F54" s="4"/>
      <c r="G54" s="4"/>
      <c r="H54" s="4">
        <v>0</v>
      </c>
      <c r="I54" s="4"/>
      <c r="J54" s="4">
        <v>0</v>
      </c>
    </row>
    <row r="55" spans="1:10">
      <c r="A55" s="3" t="s">
        <v>89</v>
      </c>
      <c r="B55" s="4"/>
      <c r="C55" s="4"/>
      <c r="D55" s="4"/>
      <c r="E55" s="4"/>
      <c r="F55" s="4"/>
      <c r="G55" s="4"/>
      <c r="H55" s="4">
        <v>7</v>
      </c>
      <c r="I55" s="4"/>
      <c r="J55" s="4">
        <v>7</v>
      </c>
    </row>
    <row r="56" spans="1:10">
      <c r="A56" s="3" t="s">
        <v>50</v>
      </c>
      <c r="B56" s="4"/>
      <c r="C56" s="4"/>
      <c r="D56" s="4"/>
      <c r="E56" s="4"/>
      <c r="F56" s="4"/>
      <c r="G56" s="4"/>
      <c r="H56" s="4">
        <v>6</v>
      </c>
      <c r="I56" s="4"/>
      <c r="J56" s="4">
        <v>6</v>
      </c>
    </row>
    <row r="57" spans="1:10">
      <c r="A57" s="3" t="s">
        <v>62</v>
      </c>
      <c r="B57" s="4"/>
      <c r="C57" s="4"/>
      <c r="D57" s="4"/>
      <c r="E57" s="4"/>
      <c r="F57" s="4"/>
      <c r="G57" s="4">
        <v>1</v>
      </c>
      <c r="H57" s="4"/>
      <c r="I57" s="4"/>
      <c r="J57" s="4">
        <v>1</v>
      </c>
    </row>
    <row r="58" spans="1:10">
      <c r="A58" s="3" t="s">
        <v>69</v>
      </c>
      <c r="B58" s="4"/>
      <c r="C58" s="4"/>
      <c r="D58" s="4"/>
      <c r="E58" s="4"/>
      <c r="F58" s="4"/>
      <c r="G58" s="4"/>
      <c r="H58" s="4">
        <v>15</v>
      </c>
      <c r="I58" s="4"/>
      <c r="J58" s="4">
        <v>15</v>
      </c>
    </row>
    <row r="59" spans="1:10">
      <c r="A59" s="3" t="s">
        <v>66</v>
      </c>
      <c r="B59" s="4"/>
      <c r="C59" s="4">
        <v>5</v>
      </c>
      <c r="D59" s="4"/>
      <c r="E59" s="4"/>
      <c r="F59" s="4">
        <v>6.5</v>
      </c>
      <c r="G59" s="4"/>
      <c r="H59" s="4">
        <v>1</v>
      </c>
      <c r="I59" s="4"/>
      <c r="J59" s="4">
        <v>12.5</v>
      </c>
    </row>
    <row r="60" spans="1:10">
      <c r="A60" s="3" t="s">
        <v>87</v>
      </c>
      <c r="B60" s="4"/>
      <c r="C60" s="4">
        <v>1</v>
      </c>
      <c r="D60" s="4"/>
      <c r="E60" s="4">
        <v>12</v>
      </c>
      <c r="F60" s="4"/>
      <c r="G60" s="4"/>
      <c r="H60" s="4"/>
      <c r="I60" s="4"/>
      <c r="J60" s="4">
        <v>13</v>
      </c>
    </row>
    <row r="61" spans="1:10">
      <c r="A61" s="3" t="s">
        <v>67</v>
      </c>
      <c r="B61" s="4"/>
      <c r="C61" s="4">
        <v>3.5</v>
      </c>
      <c r="D61" s="4"/>
      <c r="E61" s="4"/>
      <c r="F61" s="4"/>
      <c r="G61" s="4"/>
      <c r="H61" s="4"/>
      <c r="I61" s="4"/>
      <c r="J61" s="4">
        <v>3.5</v>
      </c>
    </row>
    <row r="62" spans="1:10">
      <c r="A62" s="3" t="s">
        <v>88</v>
      </c>
      <c r="B62" s="4"/>
      <c r="C62" s="4">
        <v>0</v>
      </c>
      <c r="D62" s="4"/>
      <c r="E62" s="4"/>
      <c r="F62" s="4"/>
      <c r="G62" s="4"/>
      <c r="H62" s="4">
        <v>1</v>
      </c>
      <c r="I62" s="4"/>
      <c r="J62" s="4">
        <v>1</v>
      </c>
    </row>
    <row r="63" spans="1:10">
      <c r="A63" s="3" t="s">
        <v>80</v>
      </c>
      <c r="B63" s="4"/>
      <c r="C63" s="4">
        <v>4</v>
      </c>
      <c r="D63" s="4"/>
      <c r="E63" s="4">
        <v>6</v>
      </c>
      <c r="F63" s="4"/>
      <c r="G63" s="4"/>
      <c r="H63" s="4"/>
      <c r="I63" s="4"/>
      <c r="J63" s="4">
        <v>10</v>
      </c>
    </row>
    <row r="64" spans="1:10">
      <c r="A64" s="3" t="s">
        <v>73</v>
      </c>
      <c r="B64" s="4"/>
      <c r="C64" s="4"/>
      <c r="D64" s="4">
        <v>2</v>
      </c>
      <c r="E64" s="4">
        <v>3</v>
      </c>
      <c r="F64" s="4"/>
      <c r="G64" s="4"/>
      <c r="H64" s="4"/>
      <c r="I64" s="4"/>
      <c r="J64" s="4">
        <v>5</v>
      </c>
    </row>
    <row r="65" spans="1:10">
      <c r="A65" s="3" t="s">
        <v>71</v>
      </c>
      <c r="B65" s="4"/>
      <c r="C65" s="4">
        <v>6</v>
      </c>
      <c r="D65" s="4"/>
      <c r="E65" s="4"/>
      <c r="F65" s="4"/>
      <c r="G65" s="4"/>
      <c r="H65" s="4"/>
      <c r="I65" s="4"/>
      <c r="J65" s="4">
        <v>6</v>
      </c>
    </row>
    <row r="66" spans="1:10">
      <c r="A66" s="3" t="s">
        <v>85</v>
      </c>
      <c r="B66" s="4"/>
      <c r="C66" s="4"/>
      <c r="D66" s="4"/>
      <c r="E66" s="4"/>
      <c r="F66" s="4"/>
      <c r="G66" s="4"/>
      <c r="H66" s="4">
        <v>9</v>
      </c>
      <c r="I66" s="4"/>
      <c r="J66" s="4">
        <v>9</v>
      </c>
    </row>
    <row r="67" spans="1:10">
      <c r="A67" s="3" t="s">
        <v>84</v>
      </c>
      <c r="B67" s="4"/>
      <c r="C67" s="4"/>
      <c r="D67" s="4"/>
      <c r="E67" s="4"/>
      <c r="F67" s="4"/>
      <c r="G67" s="4"/>
      <c r="H67" s="4">
        <v>9</v>
      </c>
      <c r="I67" s="4"/>
      <c r="J67" s="4">
        <v>9</v>
      </c>
    </row>
    <row r="68" spans="1:10">
      <c r="A68" s="3" t="s">
        <v>51</v>
      </c>
      <c r="B68" s="4"/>
      <c r="C68" s="4"/>
      <c r="D68" s="4"/>
      <c r="E68" s="4">
        <v>0</v>
      </c>
      <c r="F68" s="4"/>
      <c r="G68" s="4"/>
      <c r="H68" s="4"/>
      <c r="I68" s="4"/>
      <c r="J68" s="4">
        <v>0</v>
      </c>
    </row>
    <row r="69" spans="1:10">
      <c r="A69" s="3" t="s">
        <v>52</v>
      </c>
      <c r="B69" s="4"/>
      <c r="C69" s="4">
        <v>2</v>
      </c>
      <c r="D69" s="4"/>
      <c r="E69" s="4">
        <v>1</v>
      </c>
      <c r="F69" s="4"/>
      <c r="G69" s="4"/>
      <c r="H69" s="4"/>
      <c r="I69" s="4"/>
      <c r="J69" s="4">
        <v>3</v>
      </c>
    </row>
    <row r="70" spans="1:10">
      <c r="A70" s="3" t="s">
        <v>58</v>
      </c>
      <c r="B70" s="4">
        <v>4</v>
      </c>
      <c r="C70" s="4">
        <v>6</v>
      </c>
      <c r="D70" s="4">
        <v>2</v>
      </c>
      <c r="E70" s="4">
        <v>1</v>
      </c>
      <c r="F70" s="4">
        <v>0.25</v>
      </c>
      <c r="G70" s="4"/>
      <c r="H70" s="4"/>
      <c r="I70" s="4"/>
      <c r="J70" s="4">
        <v>13.25</v>
      </c>
    </row>
    <row r="71" spans="1:10">
      <c r="A71" s="3" t="s">
        <v>39</v>
      </c>
      <c r="B71" s="4"/>
      <c r="C71" s="4"/>
      <c r="D71" s="4"/>
      <c r="E71" s="4"/>
      <c r="F71" s="4"/>
      <c r="G71" s="4"/>
      <c r="H71" s="4">
        <v>2</v>
      </c>
      <c r="I71" s="4"/>
      <c r="J71" s="4">
        <v>2</v>
      </c>
    </row>
    <row r="72" spans="1:10">
      <c r="A72" s="3" t="s">
        <v>38</v>
      </c>
      <c r="B72" s="4">
        <v>2</v>
      </c>
      <c r="C72" s="4">
        <v>2</v>
      </c>
      <c r="D72" s="4"/>
      <c r="E72" s="4">
        <v>1</v>
      </c>
      <c r="F72" s="4">
        <v>1</v>
      </c>
      <c r="G72" s="4">
        <v>1</v>
      </c>
      <c r="H72" s="4">
        <v>1</v>
      </c>
      <c r="I72" s="4"/>
      <c r="J72" s="4">
        <v>8</v>
      </c>
    </row>
    <row r="73" spans="1:10">
      <c r="A73" s="3" t="s">
        <v>14</v>
      </c>
      <c r="B73" s="4">
        <v>5</v>
      </c>
      <c r="C73" s="4">
        <v>3</v>
      </c>
      <c r="D73" s="4">
        <v>3</v>
      </c>
      <c r="E73" s="4">
        <v>1</v>
      </c>
      <c r="F73" s="4">
        <v>1</v>
      </c>
      <c r="G73" s="4">
        <v>2</v>
      </c>
      <c r="H73" s="4"/>
      <c r="I73" s="4"/>
      <c r="J73" s="4">
        <v>15</v>
      </c>
    </row>
    <row r="74" spans="1:10">
      <c r="A74" s="3" t="s">
        <v>33</v>
      </c>
      <c r="B74" s="4"/>
      <c r="C74" s="4"/>
      <c r="D74" s="4">
        <v>1</v>
      </c>
      <c r="E74" s="4">
        <v>4</v>
      </c>
      <c r="F74" s="4"/>
      <c r="G74" s="4"/>
      <c r="H74" s="4"/>
      <c r="I74" s="4"/>
      <c r="J74" s="4">
        <v>5</v>
      </c>
    </row>
    <row r="75" spans="1:10">
      <c r="A75" s="3" t="s">
        <v>15</v>
      </c>
      <c r="B75" s="4"/>
      <c r="C75" s="4"/>
      <c r="D75" s="4"/>
      <c r="E75" s="4"/>
      <c r="F75" s="4">
        <v>0.5</v>
      </c>
      <c r="G75" s="4"/>
      <c r="H75" s="4"/>
      <c r="I75" s="4"/>
      <c r="J75" s="4">
        <v>0.5</v>
      </c>
    </row>
    <row r="76" spans="1:10">
      <c r="A76" s="3" t="s">
        <v>78</v>
      </c>
      <c r="B76" s="4"/>
      <c r="C76" s="4"/>
      <c r="D76" s="4"/>
      <c r="E76" s="4"/>
      <c r="F76" s="4">
        <v>2</v>
      </c>
      <c r="G76" s="4"/>
      <c r="H76" s="4">
        <v>1</v>
      </c>
      <c r="I76" s="4"/>
      <c r="J76" s="4">
        <v>3</v>
      </c>
    </row>
    <row r="77" spans="1:10">
      <c r="A77" s="3" t="s">
        <v>75</v>
      </c>
      <c r="B77" s="4"/>
      <c r="C77" s="4"/>
      <c r="D77" s="4"/>
      <c r="E77" s="4"/>
      <c r="F77" s="4">
        <v>5.5</v>
      </c>
      <c r="G77" s="4"/>
      <c r="H77" s="4"/>
      <c r="I77" s="4"/>
      <c r="J77" s="4">
        <v>5.5</v>
      </c>
    </row>
    <row r="78" spans="1:10">
      <c r="A78" s="3" t="s">
        <v>86</v>
      </c>
      <c r="B78" s="4"/>
      <c r="C78" s="4">
        <v>2</v>
      </c>
      <c r="D78" s="4"/>
      <c r="E78" s="4">
        <v>5</v>
      </c>
      <c r="F78" s="4"/>
      <c r="G78" s="4"/>
      <c r="H78" s="4">
        <v>1</v>
      </c>
      <c r="I78" s="4"/>
      <c r="J78" s="4">
        <v>8</v>
      </c>
    </row>
    <row r="79" spans="1:10">
      <c r="A79" s="3" t="s">
        <v>53</v>
      </c>
      <c r="B79" s="4"/>
      <c r="C79" s="4">
        <v>4</v>
      </c>
      <c r="D79" s="4"/>
      <c r="E79" s="4">
        <v>5</v>
      </c>
      <c r="F79" s="4"/>
      <c r="G79" s="4"/>
      <c r="H79" s="4">
        <v>1</v>
      </c>
      <c r="I79" s="4"/>
      <c r="J79" s="4">
        <v>10</v>
      </c>
    </row>
    <row r="80" spans="1:10">
      <c r="A80" s="3" t="s">
        <v>54</v>
      </c>
      <c r="B80" s="4"/>
      <c r="C80" s="4"/>
      <c r="D80" s="4"/>
      <c r="E80" s="4"/>
      <c r="F80" s="4"/>
      <c r="G80" s="4"/>
      <c r="H80" s="4">
        <v>11</v>
      </c>
      <c r="I80" s="4"/>
      <c r="J80" s="4">
        <v>11</v>
      </c>
    </row>
    <row r="81" spans="1:10">
      <c r="A81" s="3" t="s">
        <v>55</v>
      </c>
      <c r="B81" s="4"/>
      <c r="C81" s="4"/>
      <c r="D81" s="4"/>
      <c r="E81" s="4">
        <v>4</v>
      </c>
      <c r="F81" s="4"/>
      <c r="G81" s="4"/>
      <c r="H81" s="4"/>
      <c r="I81" s="4"/>
      <c r="J81" s="4">
        <v>4</v>
      </c>
    </row>
    <row r="82" spans="1:10">
      <c r="A82" s="3" t="s">
        <v>56</v>
      </c>
      <c r="B82" s="4"/>
      <c r="C82" s="4"/>
      <c r="D82" s="4"/>
      <c r="E82" s="4">
        <v>10</v>
      </c>
      <c r="F82" s="4"/>
      <c r="G82" s="4"/>
      <c r="H82" s="4">
        <v>5</v>
      </c>
      <c r="I82" s="4"/>
      <c r="J82" s="4">
        <v>15</v>
      </c>
    </row>
    <row r="83" spans="1:10">
      <c r="A83" s="3" t="s">
        <v>57</v>
      </c>
      <c r="B83" s="4"/>
      <c r="C83" s="4">
        <v>1</v>
      </c>
      <c r="D83" s="4"/>
      <c r="E83" s="4">
        <v>3</v>
      </c>
      <c r="F83" s="4"/>
      <c r="G83" s="4"/>
      <c r="H83" s="4"/>
      <c r="I83" s="4"/>
      <c r="J83" s="4">
        <v>4</v>
      </c>
    </row>
    <row r="84" spans="1:10">
      <c r="A84" s="3" t="s">
        <v>60</v>
      </c>
      <c r="B84" s="4"/>
      <c r="C84" s="4"/>
      <c r="D84" s="4"/>
      <c r="E84" s="4"/>
      <c r="F84" s="4"/>
      <c r="G84" s="4"/>
      <c r="H84" s="4">
        <v>7</v>
      </c>
      <c r="I84" s="4"/>
      <c r="J84" s="4">
        <v>7</v>
      </c>
    </row>
    <row r="85" spans="1:10">
      <c r="A85" s="3" t="s">
        <v>61</v>
      </c>
      <c r="B85" s="4"/>
      <c r="C85" s="4"/>
      <c r="D85" s="4"/>
      <c r="E85" s="4"/>
      <c r="F85" s="4"/>
      <c r="G85" s="4"/>
      <c r="H85" s="4">
        <v>4</v>
      </c>
      <c r="I85" s="4"/>
      <c r="J85" s="4">
        <v>4</v>
      </c>
    </row>
    <row r="86" spans="1:10">
      <c r="A86" s="3" t="s">
        <v>82</v>
      </c>
      <c r="B86" s="4"/>
      <c r="C86" s="4">
        <v>1</v>
      </c>
      <c r="D86" s="4"/>
      <c r="E86" s="4">
        <v>2</v>
      </c>
      <c r="F86" s="4"/>
      <c r="G86" s="4"/>
      <c r="H86" s="4">
        <v>1</v>
      </c>
      <c r="I86" s="4"/>
      <c r="J86" s="4">
        <v>4</v>
      </c>
    </row>
    <row r="87" spans="1:10">
      <c r="A87" s="3" t="s">
        <v>81</v>
      </c>
      <c r="B87" s="4"/>
      <c r="C87" s="4"/>
      <c r="D87" s="4"/>
      <c r="E87" s="4">
        <v>2</v>
      </c>
      <c r="F87" s="4"/>
      <c r="G87" s="4"/>
      <c r="H87" s="4">
        <v>1</v>
      </c>
      <c r="I87" s="4"/>
      <c r="J87" s="4">
        <v>3</v>
      </c>
    </row>
    <row r="88" spans="1:10">
      <c r="A88" s="3" t="s">
        <v>68</v>
      </c>
      <c r="B88" s="4"/>
      <c r="C88" s="4">
        <v>2</v>
      </c>
      <c r="D88" s="4"/>
      <c r="E88" s="4">
        <v>6</v>
      </c>
      <c r="F88" s="4">
        <v>1</v>
      </c>
      <c r="G88" s="4"/>
      <c r="H88" s="4">
        <v>3</v>
      </c>
      <c r="I88" s="4"/>
      <c r="J88" s="4">
        <v>12</v>
      </c>
    </row>
    <row r="89" spans="1:10">
      <c r="A89" s="3" t="s">
        <v>72</v>
      </c>
      <c r="B89" s="4"/>
      <c r="C89" s="4">
        <v>2</v>
      </c>
      <c r="D89" s="4">
        <v>1</v>
      </c>
      <c r="E89" s="4">
        <v>4</v>
      </c>
      <c r="F89" s="4"/>
      <c r="G89" s="4"/>
      <c r="H89" s="4"/>
      <c r="I89" s="4"/>
      <c r="J89" s="4">
        <v>7</v>
      </c>
    </row>
    <row r="90" spans="1:10">
      <c r="A90" s="3" t="s">
        <v>65</v>
      </c>
      <c r="B90" s="4"/>
      <c r="C90" s="4">
        <v>1</v>
      </c>
      <c r="D90" s="4"/>
      <c r="E90" s="4">
        <v>1</v>
      </c>
      <c r="F90" s="4"/>
      <c r="G90" s="4"/>
      <c r="H90" s="4">
        <v>2</v>
      </c>
      <c r="I90" s="4"/>
      <c r="J90" s="4">
        <v>4</v>
      </c>
    </row>
    <row r="91" spans="1:10">
      <c r="A91" s="3" t="s">
        <v>44</v>
      </c>
      <c r="B91" s="4"/>
      <c r="C91" s="4"/>
      <c r="D91" s="4"/>
      <c r="E91" s="4">
        <v>4</v>
      </c>
      <c r="F91" s="4"/>
      <c r="G91" s="4">
        <v>0.5</v>
      </c>
      <c r="H91" s="4">
        <v>1</v>
      </c>
      <c r="I91" s="4"/>
      <c r="J91" s="4">
        <v>5.5</v>
      </c>
    </row>
    <row r="92" spans="1:10">
      <c r="A92" s="3" t="s">
        <v>7</v>
      </c>
      <c r="B92" s="4">
        <v>1</v>
      </c>
      <c r="C92" s="4">
        <v>3</v>
      </c>
      <c r="D92" s="4">
        <v>2</v>
      </c>
      <c r="E92" s="4">
        <v>4</v>
      </c>
      <c r="F92" s="4">
        <v>1</v>
      </c>
      <c r="G92" s="4"/>
      <c r="H92" s="4"/>
      <c r="I92" s="4"/>
      <c r="J92" s="4">
        <v>11</v>
      </c>
    </row>
    <row r="93" spans="1:10">
      <c r="A93" s="3" t="s">
        <v>113</v>
      </c>
      <c r="B93" s="4"/>
      <c r="C93" s="4">
        <v>1</v>
      </c>
      <c r="D93" s="4"/>
      <c r="E93" s="4">
        <v>2</v>
      </c>
      <c r="F93" s="4"/>
      <c r="G93" s="4"/>
      <c r="H93" s="4"/>
      <c r="I93" s="4"/>
      <c r="J93" s="4">
        <v>3</v>
      </c>
    </row>
    <row r="94" spans="1:10">
      <c r="A94" s="3" t="s">
        <v>112</v>
      </c>
      <c r="B94" s="4"/>
      <c r="C94" s="4">
        <v>0.5</v>
      </c>
      <c r="D94" s="4"/>
      <c r="E94" s="4">
        <v>4</v>
      </c>
      <c r="F94" s="4"/>
      <c r="G94" s="4"/>
      <c r="H94" s="4">
        <v>1</v>
      </c>
      <c r="I94" s="4"/>
      <c r="J94" s="4">
        <v>5.5</v>
      </c>
    </row>
    <row r="95" spans="1:10">
      <c r="A95" s="3" t="s">
        <v>110</v>
      </c>
      <c r="B95" s="4"/>
      <c r="C95" s="4"/>
      <c r="D95" s="4"/>
      <c r="E95" s="4">
        <v>2</v>
      </c>
      <c r="F95" s="4"/>
      <c r="G95" s="4"/>
      <c r="H95" s="4"/>
      <c r="I95" s="4"/>
      <c r="J95" s="4">
        <v>2</v>
      </c>
    </row>
    <row r="96" spans="1:10">
      <c r="A96" s="3" t="s">
        <v>111</v>
      </c>
      <c r="B96" s="4"/>
      <c r="C96" s="4"/>
      <c r="D96" s="4"/>
      <c r="E96" s="4">
        <v>2</v>
      </c>
      <c r="F96" s="4"/>
      <c r="G96" s="4"/>
      <c r="H96" s="4">
        <v>2</v>
      </c>
      <c r="I96" s="4"/>
      <c r="J96" s="4">
        <v>4</v>
      </c>
    </row>
    <row r="97" spans="1:10">
      <c r="A97" s="3" t="s">
        <v>114</v>
      </c>
      <c r="B97" s="4"/>
      <c r="C97" s="4"/>
      <c r="D97" s="4"/>
      <c r="E97" s="4"/>
      <c r="F97" s="4"/>
      <c r="G97" s="4"/>
      <c r="H97" s="4">
        <v>0</v>
      </c>
      <c r="I97" s="4"/>
      <c r="J97" s="4">
        <v>0</v>
      </c>
    </row>
    <row r="98" spans="1:10">
      <c r="A98" s="3" t="s">
        <v>20</v>
      </c>
      <c r="B98" s="4">
        <v>14</v>
      </c>
      <c r="C98" s="4">
        <v>52</v>
      </c>
      <c r="D98" s="4">
        <v>12</v>
      </c>
      <c r="E98" s="4">
        <v>117</v>
      </c>
      <c r="F98" s="4">
        <v>32</v>
      </c>
      <c r="G98" s="4">
        <v>5</v>
      </c>
      <c r="H98" s="4">
        <v>124</v>
      </c>
      <c r="I98" s="4"/>
      <c r="J98" s="4">
        <v>356</v>
      </c>
    </row>
  </sheetData>
  <pageMargins left="0.7" right="0.7" top="0.75" bottom="0.75" header="0.3" footer="0.3"/>
  <pageSetup orientation="portrait" horizontalDpi="1200" verticalDpi="1200" r:id="rId4"/>
  <headerFooter>
    <oddFooter>&amp;C&amp;1#&amp;"Arial"&amp;8 Nokia internal use</oddFooter>
  </headerFooter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AI62"/>
  <sheetViews>
    <sheetView topLeftCell="A43" zoomScale="85" zoomScaleNormal="85" workbookViewId="0">
      <selection activeCell="G14" sqref="G14"/>
    </sheetView>
  </sheetViews>
  <sheetFormatPr baseColWidth="10" defaultColWidth="8.83203125" defaultRowHeight="13"/>
  <cols>
    <col min="25" max="25" width="16.5" bestFit="1" customWidth="1"/>
    <col min="26" max="26" width="17" bestFit="1" customWidth="1"/>
    <col min="27" max="27" width="5" customWidth="1"/>
    <col min="28" max="28" width="6.5" customWidth="1"/>
    <col min="29" max="29" width="5" customWidth="1"/>
    <col min="30" max="30" width="8.1640625" customWidth="1"/>
    <col min="31" max="31" width="5" customWidth="1"/>
    <col min="32" max="32" width="4.5" customWidth="1"/>
    <col min="33" max="33" width="6" customWidth="1"/>
    <col min="34" max="34" width="5" customWidth="1"/>
    <col min="35" max="35" width="11.83203125" bestFit="1" customWidth="1"/>
  </cols>
  <sheetData>
    <row r="1" spans="10:35"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</row>
    <row r="2" spans="10:35"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</row>
    <row r="3" spans="10:35">
      <c r="Y3" s="33"/>
      <c r="Z3" s="34"/>
      <c r="AA3" s="34"/>
      <c r="AB3" s="34"/>
      <c r="AC3" s="34"/>
      <c r="AD3" s="34"/>
      <c r="AE3" s="34"/>
      <c r="AF3" s="34"/>
      <c r="AG3" s="34"/>
      <c r="AH3" s="34"/>
      <c r="AI3" s="34"/>
    </row>
    <row r="4" spans="10:35">
      <c r="Y4" s="33"/>
      <c r="Z4" s="34"/>
      <c r="AA4" s="34"/>
      <c r="AB4" s="34"/>
      <c r="AC4" s="34"/>
      <c r="AD4" s="34"/>
      <c r="AE4" s="34"/>
      <c r="AF4" s="34"/>
      <c r="AG4" s="34"/>
      <c r="AH4" s="34"/>
      <c r="AI4" s="34"/>
    </row>
    <row r="5" spans="10:35">
      <c r="Y5" s="33"/>
      <c r="Z5" s="34"/>
      <c r="AA5" s="34"/>
      <c r="AB5" s="34"/>
      <c r="AC5" s="34"/>
      <c r="AD5" s="34"/>
      <c r="AE5" s="34"/>
      <c r="AF5" s="34"/>
      <c r="AG5" s="34"/>
      <c r="AH5" s="34"/>
      <c r="AI5" s="34"/>
    </row>
    <row r="6" spans="10:35">
      <c r="Y6" s="33"/>
      <c r="Z6" s="34"/>
      <c r="AA6" s="34"/>
      <c r="AB6" s="34"/>
      <c r="AC6" s="34"/>
      <c r="AD6" s="34"/>
      <c r="AE6" s="34"/>
      <c r="AF6" s="34"/>
      <c r="AG6" s="34"/>
      <c r="AH6" s="34"/>
      <c r="AI6" s="34"/>
    </row>
    <row r="7" spans="10:35">
      <c r="J7" s="23" t="s">
        <v>96</v>
      </c>
      <c r="K7" s="24" t="s">
        <v>93</v>
      </c>
      <c r="L7" s="24" t="s">
        <v>94</v>
      </c>
      <c r="M7" s="24" t="s">
        <v>95</v>
      </c>
      <c r="N7" s="24" t="s">
        <v>90</v>
      </c>
      <c r="O7" s="24" t="s">
        <v>91</v>
      </c>
      <c r="P7" s="24" t="s">
        <v>92</v>
      </c>
      <c r="Q7" s="24" t="s">
        <v>97</v>
      </c>
      <c r="R7" s="24" t="s">
        <v>98</v>
      </c>
      <c r="Y7" s="33"/>
      <c r="Z7" s="34"/>
      <c r="AA7" s="34"/>
      <c r="AB7" s="34"/>
      <c r="AC7" s="34"/>
      <c r="AD7" s="34"/>
      <c r="AE7" s="34"/>
      <c r="AF7" s="34"/>
      <c r="AG7" s="34"/>
      <c r="AH7" s="34"/>
      <c r="AI7" s="34"/>
    </row>
    <row r="8" spans="10:35">
      <c r="J8" s="22">
        <v>42979</v>
      </c>
      <c r="K8" s="21">
        <v>81</v>
      </c>
      <c r="L8" s="21">
        <v>75.5</v>
      </c>
      <c r="M8" s="21">
        <v>156.5</v>
      </c>
      <c r="N8" s="21">
        <v>100</v>
      </c>
      <c r="O8" s="21">
        <v>37</v>
      </c>
      <c r="P8" s="21">
        <v>137</v>
      </c>
      <c r="Q8" s="21">
        <v>67.5</v>
      </c>
      <c r="R8" s="21">
        <f>M8+P8+Q8</f>
        <v>361</v>
      </c>
      <c r="Y8" s="33"/>
      <c r="Z8" s="34"/>
      <c r="AA8" s="34"/>
      <c r="AB8" s="34"/>
      <c r="AC8" s="34"/>
      <c r="AD8" s="34"/>
      <c r="AE8" s="34"/>
      <c r="AF8" s="34"/>
      <c r="AG8" s="34"/>
      <c r="AH8" s="34"/>
      <c r="AI8" s="34"/>
    </row>
    <row r="9" spans="10:35">
      <c r="J9" s="22">
        <v>43009</v>
      </c>
      <c r="K9" s="21">
        <v>83</v>
      </c>
      <c r="L9" s="21">
        <v>75.5</v>
      </c>
      <c r="M9" s="21">
        <v>158.5</v>
      </c>
      <c r="N9" s="21">
        <v>98</v>
      </c>
      <c r="O9" s="21">
        <v>36</v>
      </c>
      <c r="P9" s="21">
        <v>134</v>
      </c>
      <c r="Q9" s="21">
        <v>67.5</v>
      </c>
      <c r="R9" s="21">
        <f>M9+P9+Q9</f>
        <v>360</v>
      </c>
      <c r="Y9" s="33"/>
      <c r="Z9" s="34"/>
      <c r="AA9" s="34"/>
      <c r="AB9" s="34"/>
      <c r="AC9" s="34"/>
      <c r="AD9" s="34"/>
      <c r="AE9" s="34"/>
      <c r="AF9" s="34"/>
      <c r="AG9" s="34"/>
      <c r="AH9" s="34"/>
      <c r="AI9" s="34"/>
    </row>
    <row r="10" spans="10:35">
      <c r="J10" s="22">
        <v>43040</v>
      </c>
      <c r="K10" s="21">
        <v>83.5</v>
      </c>
      <c r="L10" s="21">
        <v>74.5</v>
      </c>
      <c r="M10" s="21">
        <v>158</v>
      </c>
      <c r="N10" s="21">
        <v>96.5</v>
      </c>
      <c r="O10" s="21">
        <v>39</v>
      </c>
      <c r="P10" s="21">
        <v>135.5</v>
      </c>
      <c r="Q10" s="21">
        <v>66.5</v>
      </c>
      <c r="R10" s="21">
        <f>Q10+P10+M10</f>
        <v>360</v>
      </c>
      <c r="Y10" s="33"/>
      <c r="Z10" s="34"/>
      <c r="AA10" s="34"/>
      <c r="AB10" s="34"/>
      <c r="AC10" s="34"/>
      <c r="AD10" s="34"/>
      <c r="AE10" s="34"/>
      <c r="AF10" s="34"/>
      <c r="AG10" s="34"/>
      <c r="AH10" s="34"/>
      <c r="AI10" s="34"/>
    </row>
    <row r="11" spans="10:35">
      <c r="J11" s="35">
        <v>43070</v>
      </c>
      <c r="K11" s="21">
        <v>78.75</v>
      </c>
      <c r="L11" s="21">
        <v>75.5</v>
      </c>
      <c r="M11" s="21">
        <f>K11+L11</f>
        <v>154.25</v>
      </c>
      <c r="N11" s="21">
        <v>97.25</v>
      </c>
      <c r="O11" s="21">
        <v>38</v>
      </c>
      <c r="P11" s="21">
        <f>N11+O11</f>
        <v>135.25</v>
      </c>
      <c r="Q11" s="21">
        <v>69.5</v>
      </c>
      <c r="R11" s="21">
        <f>M11+P11+Q11</f>
        <v>359</v>
      </c>
      <c r="Y11" s="33"/>
      <c r="Z11" s="34"/>
      <c r="AA11" s="34"/>
      <c r="AB11" s="34"/>
      <c r="AC11" s="34"/>
      <c r="AD11" s="34"/>
      <c r="AE11" s="34"/>
      <c r="AF11" s="34"/>
      <c r="AG11" s="34"/>
      <c r="AH11" s="34"/>
      <c r="AI11" s="34"/>
    </row>
    <row r="12" spans="10:35">
      <c r="J12" s="35">
        <v>43124</v>
      </c>
      <c r="K12" s="21">
        <v>79.75</v>
      </c>
      <c r="L12" s="21">
        <v>75.5</v>
      </c>
      <c r="M12" s="21">
        <f>K12+L12</f>
        <v>155.25</v>
      </c>
      <c r="N12" s="21">
        <v>84.85</v>
      </c>
      <c r="O12" s="21">
        <v>37</v>
      </c>
      <c r="P12" s="21">
        <f>N12+O12</f>
        <v>121.85</v>
      </c>
      <c r="Q12" s="21">
        <v>79.900000000000006</v>
      </c>
      <c r="R12" s="21">
        <f>M12+P12+Q12</f>
        <v>357</v>
      </c>
      <c r="Y12" s="33"/>
      <c r="Z12" s="34"/>
      <c r="AA12" s="34"/>
      <c r="AB12" s="34"/>
      <c r="AC12" s="34"/>
      <c r="AD12" s="34"/>
      <c r="AE12" s="34"/>
      <c r="AF12" s="34"/>
      <c r="AG12" s="34"/>
      <c r="AH12" s="34"/>
      <c r="AI12" s="34"/>
    </row>
    <row r="13" spans="10:35">
      <c r="Y13" s="33"/>
      <c r="Z13" s="34"/>
      <c r="AA13" s="34"/>
      <c r="AB13" s="34"/>
      <c r="AC13" s="34"/>
      <c r="AD13" s="34"/>
      <c r="AE13" s="34"/>
      <c r="AF13" s="34"/>
      <c r="AG13" s="34"/>
      <c r="AH13" s="34"/>
      <c r="AI13" s="34"/>
    </row>
    <row r="14" spans="10:35">
      <c r="Y14" s="33"/>
      <c r="Z14" s="34"/>
      <c r="AA14" s="34"/>
      <c r="AB14" s="34"/>
      <c r="AC14" s="34"/>
      <c r="AD14" s="34"/>
      <c r="AE14" s="34"/>
      <c r="AF14" s="34"/>
      <c r="AG14" s="34"/>
      <c r="AH14" s="34"/>
      <c r="AI14" s="34"/>
    </row>
    <row r="15" spans="10:35">
      <c r="Y15" s="33"/>
      <c r="Z15" s="34"/>
      <c r="AA15" s="34"/>
      <c r="AB15" s="34"/>
      <c r="AC15" s="34"/>
      <c r="AD15" s="34"/>
      <c r="AE15" s="34"/>
      <c r="AF15" s="34"/>
      <c r="AG15" s="34"/>
      <c r="AH15" s="34"/>
      <c r="AI15" s="34"/>
    </row>
    <row r="46" spans="3:13">
      <c r="C46" s="23" t="s">
        <v>96</v>
      </c>
      <c r="D46" s="23" t="s">
        <v>102</v>
      </c>
      <c r="E46" s="23" t="s">
        <v>5</v>
      </c>
      <c r="F46" s="23" t="s">
        <v>99</v>
      </c>
      <c r="G46" s="23" t="s">
        <v>18</v>
      </c>
      <c r="H46" s="23" t="s">
        <v>104</v>
      </c>
      <c r="I46" s="23" t="s">
        <v>103</v>
      </c>
      <c r="J46" s="28" t="s">
        <v>100</v>
      </c>
      <c r="K46" s="28" t="s">
        <v>101</v>
      </c>
      <c r="L46" s="28" t="s">
        <v>36</v>
      </c>
      <c r="M46" s="28" t="s">
        <v>97</v>
      </c>
    </row>
    <row r="47" spans="3:13">
      <c r="C47" s="26">
        <v>42736</v>
      </c>
      <c r="D47" s="25">
        <v>132.5</v>
      </c>
      <c r="E47" s="25">
        <v>33</v>
      </c>
      <c r="F47" s="25">
        <v>9</v>
      </c>
      <c r="G47" s="25">
        <v>9</v>
      </c>
      <c r="H47" s="25">
        <v>10</v>
      </c>
      <c r="I47" s="25">
        <v>11</v>
      </c>
      <c r="J47" s="25">
        <v>50.5</v>
      </c>
      <c r="K47" s="25">
        <v>12</v>
      </c>
      <c r="L47" s="25">
        <v>21</v>
      </c>
      <c r="M47" s="25">
        <v>66</v>
      </c>
    </row>
    <row r="48" spans="3:13">
      <c r="C48" s="26">
        <v>42767</v>
      </c>
      <c r="D48" s="25">
        <v>129.5</v>
      </c>
      <c r="E48" s="25">
        <v>33</v>
      </c>
      <c r="F48" s="25">
        <v>9</v>
      </c>
      <c r="G48" s="25">
        <v>9</v>
      </c>
      <c r="H48" s="25">
        <v>10</v>
      </c>
      <c r="I48" s="25">
        <v>12</v>
      </c>
      <c r="J48" s="25">
        <v>50.5</v>
      </c>
      <c r="K48" s="25">
        <v>12</v>
      </c>
      <c r="L48" s="25">
        <v>21</v>
      </c>
      <c r="M48" s="25">
        <v>66</v>
      </c>
    </row>
    <row r="49" spans="3:13">
      <c r="C49" s="26">
        <v>42795</v>
      </c>
      <c r="D49" s="25">
        <v>130.5</v>
      </c>
      <c r="E49" s="25">
        <v>33</v>
      </c>
      <c r="F49" s="25">
        <v>9</v>
      </c>
      <c r="G49" s="25">
        <v>9</v>
      </c>
      <c r="H49" s="25">
        <v>11</v>
      </c>
      <c r="I49" s="25">
        <v>12</v>
      </c>
      <c r="J49" s="25">
        <v>49.5</v>
      </c>
      <c r="K49" s="25">
        <v>12</v>
      </c>
      <c r="L49" s="25">
        <v>20</v>
      </c>
      <c r="M49" s="25">
        <v>66</v>
      </c>
    </row>
    <row r="50" spans="3:13">
      <c r="C50" s="26">
        <v>42826</v>
      </c>
      <c r="D50" s="25">
        <v>124.5</v>
      </c>
      <c r="E50" s="25">
        <v>32</v>
      </c>
      <c r="F50" s="25">
        <v>9</v>
      </c>
      <c r="G50" s="25">
        <v>9</v>
      </c>
      <c r="H50" s="25">
        <v>4</v>
      </c>
      <c r="I50" s="25">
        <v>19</v>
      </c>
      <c r="J50" s="25">
        <v>40.5</v>
      </c>
      <c r="K50" s="25">
        <v>25</v>
      </c>
      <c r="L50" s="25">
        <v>23</v>
      </c>
      <c r="M50" s="25">
        <v>66</v>
      </c>
    </row>
    <row r="51" spans="3:13">
      <c r="C51" s="27">
        <v>42856</v>
      </c>
      <c r="D51" s="25">
        <v>121</v>
      </c>
      <c r="E51" s="25">
        <v>32</v>
      </c>
      <c r="F51" s="25">
        <v>9</v>
      </c>
      <c r="G51" s="25">
        <v>9</v>
      </c>
      <c r="H51" s="25">
        <v>4</v>
      </c>
      <c r="I51" s="25">
        <v>19</v>
      </c>
      <c r="J51" s="25">
        <v>41</v>
      </c>
      <c r="K51" s="25">
        <v>27.5</v>
      </c>
      <c r="L51" s="25">
        <v>22.5</v>
      </c>
      <c r="M51" s="25">
        <v>65</v>
      </c>
    </row>
    <row r="52" spans="3:13">
      <c r="C52" s="27">
        <v>42887</v>
      </c>
      <c r="D52" s="25">
        <v>121.5</v>
      </c>
      <c r="E52" s="25">
        <v>32</v>
      </c>
      <c r="F52" s="25">
        <v>9</v>
      </c>
      <c r="G52" s="25">
        <v>9</v>
      </c>
      <c r="H52" s="25">
        <v>4</v>
      </c>
      <c r="I52" s="25">
        <v>19</v>
      </c>
      <c r="J52" s="25">
        <v>41</v>
      </c>
      <c r="K52" s="25">
        <v>28</v>
      </c>
      <c r="L52" s="25">
        <v>22.5</v>
      </c>
      <c r="M52" s="25">
        <v>65</v>
      </c>
    </row>
    <row r="53" spans="3:13">
      <c r="C53" s="27">
        <v>42917</v>
      </c>
      <c r="D53" s="25">
        <v>120.5</v>
      </c>
      <c r="E53" s="25">
        <v>32</v>
      </c>
      <c r="F53" s="25">
        <v>9</v>
      </c>
      <c r="G53" s="25">
        <v>9</v>
      </c>
      <c r="H53" s="25">
        <v>4</v>
      </c>
      <c r="I53" s="25">
        <v>18</v>
      </c>
      <c r="J53" s="25">
        <v>39</v>
      </c>
      <c r="K53" s="25">
        <v>30</v>
      </c>
      <c r="L53" s="25">
        <v>22.5</v>
      </c>
      <c r="M53" s="25">
        <v>67</v>
      </c>
    </row>
    <row r="54" spans="3:13">
      <c r="C54" s="27">
        <v>42948</v>
      </c>
      <c r="D54" s="25">
        <v>124.5</v>
      </c>
      <c r="E54" s="25">
        <v>31</v>
      </c>
      <c r="F54" s="25">
        <v>9</v>
      </c>
      <c r="G54" s="25">
        <v>8</v>
      </c>
      <c r="H54" s="25">
        <v>0</v>
      </c>
      <c r="I54" s="25">
        <v>0</v>
      </c>
      <c r="J54" s="25">
        <v>50</v>
      </c>
      <c r="K54" s="25">
        <v>49.5</v>
      </c>
      <c r="L54" s="25">
        <v>23.5</v>
      </c>
      <c r="M54" s="25">
        <v>67.5</v>
      </c>
    </row>
    <row r="55" spans="3:13">
      <c r="C55" s="22">
        <v>42979</v>
      </c>
      <c r="D55" s="29">
        <v>112</v>
      </c>
      <c r="E55" s="29">
        <v>27</v>
      </c>
      <c r="F55" s="29">
        <v>8.5</v>
      </c>
      <c r="G55" s="29">
        <v>7</v>
      </c>
      <c r="H55" s="25">
        <v>0</v>
      </c>
      <c r="I55" s="25">
        <v>0</v>
      </c>
      <c r="J55" s="21">
        <v>57</v>
      </c>
      <c r="K55" s="21">
        <v>57.5</v>
      </c>
      <c r="L55" s="21">
        <v>23.5</v>
      </c>
      <c r="M55" s="21">
        <v>68.5</v>
      </c>
    </row>
    <row r="56" spans="3:13">
      <c r="C56" s="22">
        <v>43009</v>
      </c>
      <c r="D56" s="29">
        <v>115</v>
      </c>
      <c r="E56" s="29">
        <v>27</v>
      </c>
      <c r="F56" s="29">
        <v>8.5</v>
      </c>
      <c r="G56" s="29">
        <v>7</v>
      </c>
      <c r="H56" s="25">
        <v>0</v>
      </c>
      <c r="I56" s="25">
        <v>0</v>
      </c>
      <c r="J56" s="21">
        <v>56</v>
      </c>
      <c r="K56" s="21">
        <v>55.5</v>
      </c>
      <c r="L56" s="21">
        <v>23.5</v>
      </c>
      <c r="M56" s="21">
        <v>67.5</v>
      </c>
    </row>
    <row r="57" spans="3:13">
      <c r="C57" s="22">
        <v>43040</v>
      </c>
      <c r="D57" s="29">
        <v>114.5</v>
      </c>
      <c r="E57" s="31">
        <v>28</v>
      </c>
      <c r="F57" s="31">
        <v>8.5</v>
      </c>
      <c r="G57" s="31">
        <v>7</v>
      </c>
      <c r="H57" s="25">
        <v>0</v>
      </c>
      <c r="I57" s="25">
        <v>0</v>
      </c>
      <c r="J57" s="21">
        <v>56.5</v>
      </c>
      <c r="K57" s="21">
        <v>55.5</v>
      </c>
      <c r="L57" s="21">
        <v>22.5</v>
      </c>
      <c r="M57" s="21">
        <v>66.5</v>
      </c>
    </row>
    <row r="58" spans="3:13">
      <c r="C58" s="35">
        <v>43070</v>
      </c>
      <c r="D58" s="21">
        <v>111.75</v>
      </c>
      <c r="E58" s="21">
        <v>27</v>
      </c>
      <c r="F58" s="21">
        <v>8.5</v>
      </c>
      <c r="G58" s="21">
        <v>7</v>
      </c>
      <c r="H58" s="21">
        <v>0</v>
      </c>
      <c r="I58" s="21">
        <v>0</v>
      </c>
      <c r="J58" s="21">
        <v>56.5</v>
      </c>
      <c r="K58" s="21">
        <v>56.25</v>
      </c>
      <c r="L58" s="21">
        <v>22.5</v>
      </c>
      <c r="M58" s="21">
        <v>69.5</v>
      </c>
    </row>
    <row r="59" spans="3:13">
      <c r="C59" s="35">
        <v>43124</v>
      </c>
      <c r="D59" s="21">
        <v>111.75</v>
      </c>
      <c r="E59" s="21">
        <v>28</v>
      </c>
      <c r="F59" s="21">
        <v>8.5</v>
      </c>
      <c r="G59" s="21">
        <v>7</v>
      </c>
      <c r="H59" s="21">
        <v>0</v>
      </c>
      <c r="I59" s="21">
        <v>0</v>
      </c>
      <c r="J59" s="21">
        <v>51.5</v>
      </c>
      <c r="K59" s="21">
        <v>58.85</v>
      </c>
      <c r="L59" s="21">
        <v>11.5</v>
      </c>
      <c r="M59" s="21">
        <v>79.900000000000006</v>
      </c>
    </row>
    <row r="61" spans="3:13">
      <c r="D61" s="30"/>
      <c r="E61" s="30"/>
      <c r="F61" s="30"/>
      <c r="G61" s="30"/>
      <c r="H61" s="30"/>
      <c r="I61" s="30"/>
      <c r="J61" s="30"/>
      <c r="K61" s="30"/>
      <c r="L61" s="30"/>
      <c r="M61" s="30"/>
    </row>
    <row r="62" spans="3:13">
      <c r="D62" s="30"/>
      <c r="E62" s="30"/>
      <c r="F62" s="30"/>
      <c r="G62" s="30"/>
      <c r="H62" s="30"/>
      <c r="I62" s="30"/>
      <c r="J62" s="30"/>
      <c r="K62" s="30"/>
      <c r="L62" s="30"/>
      <c r="M62" s="30"/>
    </row>
  </sheetData>
  <pageMargins left="0.7" right="0.7" top="0.75" bottom="0.75" header="0.3" footer="0.3"/>
  <pageSetup orientation="portrait" r:id="rId1"/>
  <headerFooter>
    <oddFooter>&amp;C&amp;1#&amp;"Arial"&amp;8 Nokia internal use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Persons</vt:lpstr>
      <vt:lpstr>Organization</vt:lpstr>
      <vt:lpstr>Teams</vt:lpstr>
      <vt:lpstr>Assignment</vt:lpstr>
      <vt:lpstr>Role_vs_Organization</vt:lpstr>
      <vt:lpstr>Monthly_View_with_NSB</vt:lpstr>
    </vt:vector>
  </TitlesOfParts>
  <Company>Alcatel-Lucent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Srinivasan KK</dc:creator>
  <cp:lastModifiedBy>Santhosh CK</cp:lastModifiedBy>
  <cp:lastPrinted>2015-06-19T10:29:00Z</cp:lastPrinted>
  <dcterms:created xsi:type="dcterms:W3CDTF">2011-09-26T13:46:18Z</dcterms:created>
  <dcterms:modified xsi:type="dcterms:W3CDTF">2021-02-23T02:52:20Z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46cc7c65-2b09-40ab-abef-d10548338a3b_Enabled">
    <vt:lpwstr>True</vt:lpwstr>
  </property>
  <property fmtid="{D5CDD505-2E9C-101B-9397-08002B2CF9AE}" pid="4" name="MSIP_Label_46cc7c65-2b09-40ab-abef-d10548338a3b_SiteId">
    <vt:lpwstr>5d471751-9675-428d-917b-70f44f9630b0</vt:lpwstr>
  </property>
  <property fmtid="{D5CDD505-2E9C-101B-9397-08002B2CF9AE}" pid="5" name="MSIP_Label_46cc7c65-2b09-40ab-abef-d10548338a3b_Ref">
    <vt:lpwstr>https://api.informationprotection.azure.com/api/5d471751-9675-428d-917b-70f44f9630b0</vt:lpwstr>
  </property>
  <property fmtid="{D5CDD505-2E9C-101B-9397-08002B2CF9AE}" pid="6" name="MSIP_Label_46cc7c65-2b09-40ab-abef-d10548338a3b_Owner">
    <vt:lpwstr>naragani.nagaraju@nokia.com</vt:lpwstr>
  </property>
  <property fmtid="{D5CDD505-2E9C-101B-9397-08002B2CF9AE}" pid="7" name="MSIP_Label_46cc7c65-2b09-40ab-abef-d10548338a3b_SetDate">
    <vt:lpwstr>2018-04-18T14:53:40.2151869+05:30</vt:lpwstr>
  </property>
  <property fmtid="{D5CDD505-2E9C-101B-9397-08002B2CF9AE}" pid="8" name="MSIP_Label_46cc7c65-2b09-40ab-abef-d10548338a3b_Name">
    <vt:lpwstr>Nokia internal use</vt:lpwstr>
  </property>
  <property fmtid="{D5CDD505-2E9C-101B-9397-08002B2CF9AE}" pid="9" name="MSIP_Label_46cc7c65-2b09-40ab-abef-d10548338a3b_Application">
    <vt:lpwstr>Microsoft Azure Information Protection</vt:lpwstr>
  </property>
  <property fmtid="{D5CDD505-2E9C-101B-9397-08002B2CF9AE}" pid="10" name="MSIP_Label_46cc7c65-2b09-40ab-abef-d10548338a3b_Extended_MSFT_Method">
    <vt:lpwstr>Manual</vt:lpwstr>
  </property>
  <property fmtid="{D5CDD505-2E9C-101B-9397-08002B2CF9AE}" pid="11" name="Sensitivity">
    <vt:lpwstr>Nokia internal use</vt:lpwstr>
  </property>
</Properties>
</file>